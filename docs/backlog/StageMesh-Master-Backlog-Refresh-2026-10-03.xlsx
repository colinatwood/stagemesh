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2a6a25970f45a1" /></Relationships>
</file>

<file path=xl/workbook.xml><?xml version="1.0" encoding="utf-8"?>
<x:workbook xmlns:x="http://schemas.openxmlformats.org/spreadsheetml/2006/main">
  <x:sheets>
    <x:sheet xmlns:r="http://schemas.openxmlformats.org/officeDocument/2006/relationships" name="Dashboard" sheetId="1" r:id="R1907da6f84314a5f"/>
    <x:sheet xmlns:r="http://schemas.openxmlformats.org/officeDocument/2006/relationships" name="Backlog" sheetId="2" r:id="R96d4326b4ffd410b"/>
    <x:sheet xmlns:r="http://schemas.openxmlformats.org/officeDocument/2006/relationships" name="Completed Checkpoints" sheetId="3" r:id="Rd01fc45edba44fa6"/>
    <x:sheet xmlns:r="http://schemas.openxmlformats.org/officeDocument/2006/relationships" name="Qualification Gates" sheetId="4" r:id="R8104ac868e9b4cc2"/>
    <x:sheet xmlns:r="http://schemas.openxmlformats.org/officeDocument/2006/relationships" name="Definitions" sheetId="5" r:id="Re74b2863a0844c1c"/>
    <x:sheet xmlns:r="http://schemas.openxmlformats.org/officeDocument/2006/relationships" name="External Qualification Plan" sheetId="6" r:id="R4c9eb79d05f24007"/>
    <x:sheet xmlns:r="http://schemas.openxmlformats.org/officeDocument/2006/relationships" name="Qualification Intake" sheetId="7" r:id="R5a6c2e8bc7984ce2"/>
    <x:sheet xmlns:r="http://schemas.openxmlformats.org/officeDocument/2006/relationships" name="CI Platform Evidence" sheetId="8" r:id="Rafa5558c90434ff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b/>
      <x:sz val="18"/>
      <x:color rgb="FFFFFFFF"/>
      <x:name val="Carlito"/>
    </x:font>
    <x:font>
      <x:i/>
      <x:sz val="11"/>
      <x:color rgb="FF1E3A8A"/>
      <x:name val="Carlito"/>
    </x:font>
    <x:font>
      <x:b/>
      <x:sz val="16"/>
      <x:name val="Carlito"/>
    </x:font>
    <x:font>
      <x:sz val="11"/>
      <x:color rgb="FF7C2D12"/>
      <x:name val="Carlito"/>
    </x:font>
    <x:font>
      <x:b/>
      <x:sz val="16"/>
      <x:color rgb="FFFFFFFF"/>
      <x:name val="Carlito"/>
    </x:font>
  </x:fonts>
  <x:fills count="26">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F8FAFC"/>
      </x:patternFill>
    </x:fill>
    <x:fill>
      <x:patternFill patternType="solid">
        <x:fgColor rgb="FF1E3A8A"/>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D4ED8"/>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7C2D12"/>
      </x:patternFill>
    </x:fill>
    <x:fill>
      <x:patternFill patternType="solid">
        <x:fgColor rgb="FFFFF7ED"/>
      </x:patternFill>
    </x:fill>
  </x:fills>
  <x:borders count="2">
    <x:border/>
    <x:border/>
  </x:borders>
  <x:cellStyleXfs count="1">
    <x:xf numFmtId="0" fontId="0" fillId="0" borderId="0"/>
  </x:cellStyleXfs>
  <x:cellXfs count="1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6" fillId="9" borderId="0"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0" xfId="0" applyNumberFormat="1" applyFont="1" applyFill="1" applyBorder="1" applyAlignment="1">
      <x:alignment wrapText="1"/>
    </x:xf>
    <x:xf numFmtId="0" fontId="5" fillId="13" borderId="0"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wrapText="1"/>
    </x:xf>
    <x:xf numFmtId="0" fontId="6" fillId="3"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5" fillId="15"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5" fillId="15"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vertical="center"/>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6" fillId="16" borderId="0" xfId="0" applyNumberFormat="1" applyFont="1" applyFill="1" applyBorder="1" applyAlignment="1">
      <x:alignment vertical="top"/>
    </x:xf>
    <x:xf numFmtId="0" fontId="3" fillId="17" borderId="0" xfId="0" applyNumberFormat="1" applyFont="1" applyFill="1" applyBorder="1" applyAlignment="1">
      <x:alignment vertical="top"/>
    </x:xf>
    <x:xf numFmtId="0" fontId="1" fillId="18" borderId="0" xfId="0" applyNumberFormat="1" applyFont="1" applyFill="1" applyBorder="1" applyAlignment="1">
      <x:alignment vertical="top"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wrapText="1"/>
    </x:xf>
    <x:xf numFmtId="0" fontId="5" fillId="20"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0" fillId="21" borderId="0" xfId="0" applyNumberFormat="1" applyFont="1" applyFill="1" applyBorder="1"/>
    <x:xf numFmtId="0" fontId="6"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wrapText="1"/>
    </x:xf>
    <x:xf numFmtId="0" fontId="5" fillId="25" borderId="0" xfId="0" applyNumberFormat="1" applyFont="1" applyFill="1" applyBorder="1" applyAlignment="1">
      <x:alignment vertical="top" wrapText="1"/>
    </x:xf>
  </x:cellXfs>
  <x:cellStyles count="1">
    <x:cellStyle name="Normal" xfId="0"/>
  </x:cellStyles>
  <x:dxfs count="18">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
      <x:font>
        <x:b/>
        <x:color rgb="FFB91C1C"/>
      </x:font>
    </x:dxf>
    <x:dxf>
      <x:fill>
        <x:patternFill>
          <x:bgColor rgb="FFFEE2E2"/>
        </x:patternFill>
      </x:fill>
    </x:dxf>
    <x:dxf>
      <x:fill>
        <x:patternFill>
          <x:bgColor rgb="FFFEF3C7"/>
        </x:patternFill>
      </x:fill>
    </x:dxf>
    <x:dxf>
      <x:fill>
        <x:patternFill>
          <x:bgColor rgb="FFE5E7EB"/>
        </x:patternFill>
      </x:fill>
    </x:dxf>
    <x:dxf>
      <x:font>
        <x:color rgb="FF166534"/>
      </x:font>
      <x:fill>
        <x:patternFill>
          <x:bgColor rgb="FFDCFCE7"/>
        </x:patternFill>
      </x:fill>
    </x:dxf>
    <x:dxf>
      <x:fill>
        <x:patternFill>
          <x:bgColor rgb="FFFEF3C7"/>
        </x:patternFill>
      </x:fill>
    </x:dxf>
    <x:dxf>
      <x:fill>
        <x:patternFill>
          <x:bgColor rgb="FFFEF3C7"/>
        </x:patternFill>
      </x:fill>
    </x:dxf>
    <x:dxf>
      <x:fill>
        <x:patternFill>
          <x:bgColor rgb="FFFDE68A"/>
        </x:patternFill>
      </x:fill>
    </x:dxf>
    <x:dxf>
      <x:fill>
        <x:patternFill>
          <x:bgColor rgb="FFFEF3C7"/>
        </x:patternFill>
      </x:fill>
    </x:dxf>
    <x:dxf>
      <x:fill>
        <x:patternFill>
          <x:bgColor rgb="FFDCFCE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22eb0ea2334b97" /><Relationship Type="http://schemas.openxmlformats.org/officeDocument/2006/relationships/theme" Target="/xl/theme/theme1.xml" Id="R32b0eec09d11420d" /><Relationship Type="http://schemas.openxmlformats.org/officeDocument/2006/relationships/sharedStrings" Target="/xl/sharedStrings.xml" Id="Rd4689a31ecd748fc" /><Relationship Type="http://schemas.openxmlformats.org/officeDocument/2006/relationships/worksheet" Target="/xl/worksheets/sheet1.xml" Id="R1907da6f84314a5f" /><Relationship Type="http://schemas.openxmlformats.org/officeDocument/2006/relationships/worksheet" Target="/xl/worksheets/sheet2.xml" Id="R96d4326b4ffd410b" /><Relationship Type="http://schemas.openxmlformats.org/officeDocument/2006/relationships/worksheet" Target="/xl/worksheets/sheet3.xml" Id="Rd01fc45edba44fa6" /><Relationship Type="http://schemas.openxmlformats.org/officeDocument/2006/relationships/worksheet" Target="/xl/worksheets/sheet4.xml" Id="R8104ac868e9b4cc2" /><Relationship Type="http://schemas.openxmlformats.org/officeDocument/2006/relationships/worksheet" Target="/xl/worksheets/sheet5.xml" Id="Re74b2863a0844c1c" /><Relationship Type="http://schemas.openxmlformats.org/officeDocument/2006/relationships/worksheet" Target="/xl/worksheets/sheet6.xml" Id="R4c9eb79d05f24007" /><Relationship Type="http://schemas.openxmlformats.org/officeDocument/2006/relationships/worksheet" Target="/xl/worksheets/sheet7.xml" Id="R5a6c2e8bc7984ce2" /><Relationship Type="http://schemas.openxmlformats.org/officeDocument/2006/relationships/worksheet" Target="/xl/worksheets/sheet8.xml" Id="Rafa5558c90434ff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a8119be8d524c2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backlog by phase</a:t>
            </a:r>
          </a:p>
        </c:rich>
      </c:tx>
    </c:title>
    <c:plotArea>
      <c:barChart>
        <c:barDir val="col"/>
        <c:varyColors val="0"/>
        <c:ser>
          <c:idx val="0"/>
          <c:order val="0"/>
          <c:tx>
            <c:v>Open Items</c:v>
          </c:tx>
          <c:cat>
            <c:strRef>
              <c:f>'Dashboard'!$A$9:$A$14</c:f>
              <c:strCache>
                <c:ptCount val="0"/>
              </c:strCache>
            </c:strRef>
          </c:cat>
          <c:val>
            <c:numRef>
              <c:f>'Dashboard'!$B$9:$B$14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8119be8d524c24"/>
        </a:graphicData>
      </a:graphic>
    </xdr:graphicFrame>
    <xdr:clientData/>
  </xdr:twoCellAnchor>
</xdr:wsDr>
</file>

<file path=xl/tables/table1.xml><?xml version="1.0" encoding="utf-8"?>
<x:table xmlns:x="http://schemas.openxmlformats.org/spreadsheetml/2006/main" id="1" name="ActiveBacklogTable" displayName="ActiveBacklogTable" ref="A1:O50" headerRowCount="1" totalsRowCount="0" totalsRowShown="0">
  <x:tableColumns count="15">
    <x:tableColumn id="1" name="ID"/>
    <x:tableColumn id="2" name="Workstream"/>
    <x:tableColumn id="3" name="Layer"/>
    <x:tableColumn id="4" name="Work Item"/>
    <x:tableColumn id="5" name="Outcome"/>
    <x:tableColumn id="6" name="Priority"/>
    <x:tableColumn id="7" name="Status"/>
    <x:tableColumn id="8" name="Phase"/>
    <x:tableColumn id="9" name="Type"/>
    <x:tableColumn id="10" name="Dependency / Prerequisite"/>
    <x:tableColumn id="11" name="Acceptance Criteria"/>
    <x:tableColumn id="12" name="Verification"/>
    <x:tableColumn id="13" name="Risk"/>
    <x:tableColumn id="14" name="Source"/>
    <x:tableColumn id="15" name="Rank Score"/>
  </x:tableColumns>
  <x:tableStyleInfo name="TableStyleMedium2" showFirstColumn="0" showLastColumn="0" showRowStripes="1" showColumnStripes="0"/>
</x:table>
</file>

<file path=xl/tables/table2.xml><?xml version="1.0" encoding="utf-8"?>
<x:table xmlns:x="http://schemas.openxmlformats.org/spreadsheetml/2006/main" id="2" name="CheckpointHistoryTable" displayName="CheckpointHistoryTable" ref="A1:G63" headerRowCount="1" totalsRowCount="0" totalsRowShown="0">
  <x:tableColumns count="7">
    <x:tableColumn id="1" name="Checkpoint"/>
    <x:tableColumn id="2" name="Delivered"/>
    <x:tableColumn id="3" name="Tests Passed"/>
    <x:tableColumn id="4" name="Suite"/>
    <x:tableColumn id="5" name="Native Evidence"/>
    <x:tableColumn id="6" name="Remaining Seam"/>
    <x:tableColumn id="7" name="Date"/>
  </x:tableColumns>
  <x:tableStyleInfo name="TableStyleMedium2" showFirstColumn="0" showLastColumn="0" showRowStripes="1" showColumnStripes="0"/>
</x:table>
</file>

<file path=xl/tables/table3.xml><?xml version="1.0" encoding="utf-8"?>
<x:table xmlns:x="http://schemas.openxmlformats.org/spreadsheetml/2006/main" id="3" name="QualificationGatesTable" displayName="QualificationGatesTable" ref="A1:E11" headerRowCount="1" totalsRowCount="0" totalsRowShown="0">
  <x:tableColumns count="5">
    <x:tableColumn id="1" name="Gate"/>
    <x:tableColumn id="2" name="State"/>
    <x:tableColumn id="3" name="Evidence Still Required"/>
    <x:tableColumn id="4" name="Backlog IDs"/>
    <x:tableColumn id="5" name="Claim Constrai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fedcd1e38be4d40" /></Relationships>
</file>

<file path=xl/worksheets/_rels/sheet2.xml.rels>&#65279;<?xml version="1.0" encoding="utf-8"?><Relationships xmlns="http://schemas.openxmlformats.org/package/2006/relationships"><Relationship Type="http://schemas.openxmlformats.org/officeDocument/2006/relationships/table" Target="/xl/tables/table1.xml" Id="Rcd09b7854e024cfe" /></Relationships>
</file>

<file path=xl/worksheets/_rels/sheet3.xml.rels>&#65279;<?xml version="1.0" encoding="utf-8"?><Relationships xmlns="http://schemas.openxmlformats.org/package/2006/relationships"><Relationship Type="http://schemas.openxmlformats.org/officeDocument/2006/relationships/table" Target="/xl/tables/table2.xml" Id="R1a0c310c21ab488e" /></Relationships>
</file>

<file path=xl/worksheets/_rels/sheet4.xml.rels>&#65279;<?xml version="1.0" encoding="utf-8"?><Relationships xmlns="http://schemas.openxmlformats.org/package/2006/relationships"><Relationship Type="http://schemas.openxmlformats.org/officeDocument/2006/relationships/table" Target="/xl/tables/table3.xml" Id="R040dc7120e5842ef"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18" hidden="0" customWidth="1"/>
    <x:col min="5" max="5" width="18" hidden="0" customWidth="1"/>
    <x:col min="6" max="6" width="36" hidden="0" customWidth="1"/>
    <x:col min="7" max="7" width="34" hidden="0" customWidth="1"/>
    <x:col min="8" max="8" width="24" hidden="0" customWidth="1"/>
  </x:cols>
  <x:sheetData>
    <x:row r="1" ht="21.600000381469727" hidden="0" customHeight="1">
      <x:c r="A1" s="21" t="str">
        <x:v>StageMesh / UPP Rebuilt Master Backlog</x:v>
      </x:c>
      <x:c r="B1" s="21"/>
      <x:c r="C1" s="21"/>
      <x:c r="D1" s="21"/>
      <x:c r="E1" s="21"/>
      <x:c r="F1" s="21"/>
      <x:c r="G1" s="21"/>
      <x:c r="H1" s="21"/>
    </x:row>
    <x:row r="2" ht="15" hidden="0" customHeight="1">
      <x:c r="A2" s="27" t="str">
        <x:v>Checkpoint 83 snapshot | formula counts describe this workbook's rows, not a complete current backlog</x:v>
      </x:c>
      <x:c r="B2" s="27"/>
      <x:c r="C2" s="27"/>
      <x:c r="D2" s="27"/>
      <x:c r="E2" s="27"/>
      <x:c r="F2" s="27"/>
      <x:c r="G2" s="27"/>
      <x:c r="H2" s="27"/>
    </x:row>
    <x:row r="3"/>
    <x:row r="4" ht="15" hidden="0" customHeight="1">
      <x:c r="A4" s="30" t="str">
        <x:v>TOTAL OPEN</x:v>
      </x:c>
      <x:c r="B4" s="30" t="str">
        <x:v>P0</x:v>
      </x:c>
      <x:c r="C4" s="30" t="str">
        <x:v>READY</x:v>
      </x:c>
      <x:c r="D4" s="30" t="str">
        <x:v>BLOCKED</x:v>
      </x:c>
      <x:c r="E4" s="30" t="str">
        <x:v>DEFERRED</x:v>
      </x:c>
      <x:c r="F4" s="30" t="str">
        <x:v>SOFTWARE</x:v>
      </x:c>
      <x:c r="G4" s="30" t="str">
        <x:v>QUALIFICATION</x:v>
      </x:c>
      <x:c r="H4" s="30" t="str">
        <x:v>DECISIONS</x:v>
      </x:c>
    </x:row>
    <x:row r="5" ht="19.200000762939453" hidden="0" customHeight="1">
      <x:c r="A5" s="34" t="n">
        <x:f>COUNTIF(Backlog!$G$2:$G$50,"&lt;&gt;Done")</x:f>
        <x:v>25</x:v>
      </x:c>
      <x:c r="B5" s="34" t="n">
        <x:f>COUNTIFS(Backlog!$F$2:$F$50,"P0",Backlog!$G$2:$G$50,"&lt;&gt;Done")</x:f>
        <x:v>22</x:v>
      </x:c>
      <x:c r="C5" s="34" t="n">
        <x:f>COUNTIF(Backlog!$G$2:$G$50,"Ready")</x:f>
        <x:v>0</x:v>
      </x:c>
      <x:c r="D5" s="34" t="n">
        <x:f>COUNTIF(Backlog!$G$2:$G$50,"Blocked")</x:f>
        <x:v>11</x:v>
      </x:c>
      <x:c r="E5" s="34" t="n">
        <x:f>COUNTIF(Backlog!$G$2:$G$50,"Deferred")</x:f>
        <x:v>7</x:v>
      </x:c>
      <x:c r="F5" s="34" t="n">
        <x:f>COUNTIFS(Backlog!$I$2:$I$50,"Software",Backlog!$G$2:$G$50,"&lt;&gt;Done")</x:f>
        <x:v>4</x:v>
      </x:c>
      <x:c r="G5" s="34" t="n">
        <x:f>COUNTIFS(Backlog!$I$2:$I$50,"Qualification",Backlog!$G$2:$G$50,"&lt;&gt;Done")</x:f>
        <x:v>19</x:v>
      </x:c>
      <x:c r="H5" s="34" t="n">
        <x:f>COUNTIFS(Backlog!$I$2:$I$50,"Decision",Backlog!$G$2:$G$50,"&lt;&gt;Done")</x:f>
        <x:v>2</x:v>
      </x:c>
    </x:row>
    <x:row r="6"/>
    <x:row r="7"/>
    <x:row r="8" ht="15" hidden="0" customHeight="1">
      <x:c r="A8" s="39" t="str">
        <x:v>Phase</x:v>
      </x:c>
      <x:c r="B8" s="39" t="str">
        <x:v>Open Items</x:v>
      </x:c>
      <x:c r="C8" s="39" t="str">
        <x:v>Intent</x:v>
      </x:c>
      <x:c r="E8" s="39" t="str">
        <x:v>Order</x:v>
      </x:c>
      <x:c r="F8" s="39" t="str">
        <x:v>Next slice</x:v>
      </x:c>
      <x:c r="G8" s="39" t="str">
        <x:v>Exit condition</x:v>
      </x:c>
      <x:c r="H8" s="39" t="str">
        <x:v>Primary gate</x:v>
      </x:c>
    </x:row>
    <x:row r="9" ht="15" hidden="0" customHeight="1">
      <x:c r="A9" t="str">
        <x:v>5.2</x:v>
      </x:c>
      <x:c r="B9" t="n">
        <x:f>COUNTIFS(Backlog!$H:$H,A9,Backlog!$G:$G,"&lt;&gt;Done")</x:f>
        <x:v>0</x:v>
      </x:c>
      <x:c r="C9" t="str">
        <x:v>Finish explicit audio conversion execution</x:v>
      </x:c>
      <x:c r="E9" t="n">
        <x:v>1</x:v>
      </x:c>
      <x:c r="F9" t="str">
        <x:v>Independent-witness multi-host drill</x:v>
      </x:c>
      <x:c r="G9" t="str">
        <x:v>Separate witness hosts/power/network prove 2/3 survival, 1/3 denial, clock bounds and fenced-node recovery</x:v>
      </x:c>
      <x:c r="H9" t="str">
        <x:v>Actual independent hosts</x:v>
      </x:c>
    </x:row>
    <x:row r="10" ht="15" hidden="0" customHeight="1">
      <x:c r="A10" t="str">
        <x:v>5.3</x:v>
      </x:c>
      <x:c r="B10" t="n">
        <x:f>COUNTIFS(Backlog!$H:$H,A10,Backlog!$G:$G,"&lt;&gt;Done")</x:f>
        <x:v>6</x:v>
      </x:c>
      <x:c r="C10" t="str">
        <x:v>Security, packaging, browser acceptance</x:v>
      </x:c>
      <x:c r="E10" t="n">
        <x:v>2</x:v>
      </x:c>
      <x:c r="F10" t="str">
        <x:v>Venue/control LAN + browser-network qualification</x:v>
      </x:c>
      <x:c r="G10" t="str">
        <x:v>Real TLS certificate, reverse proxy, IdP, firewall and browser/session path behave under controller load</x:v>
      </x:c>
      <x:c r="H10" t="str">
        <x:v>Deployed network</x:v>
      </x:c>
    </x:row>
    <x:row r="11" ht="15" hidden="0" customHeight="1">
      <x:c r="A11" t="str">
        <x:v>5.4</x:v>
      </x:c>
      <x:c r="B11" t="n">
        <x:f>COUNTIFS(Backlog!$H:$H,A11,Backlog!$G:$G,"&lt;&gt;Done")</x:f>
        <x:v>0</x:v>
      </x:c>
      <x:c r="C11" t="str">
        <x:v>DAW durability, authority, public-record groundwork</x:v>
      </x:c>
      <x:c r="E11" t="n">
        <x:v>3</x:v>
      </x:c>
      <x:c r="F11" t="str">
        <x:v>Clean-host Linux packaging qualification</x:v>
      </x:c>
      <x:c r="G11" t="str">
        <x:v>Install/reinstall/uninstall plus service/device permissions match the package contract</x:v>
      </x:c>
      <x:c r="H11" t="str">
        <x:v>Fresh Linux host/VM with devices</x:v>
      </x:c>
    </x:row>
    <x:row r="12" ht="15" hidden="0" customHeight="1">
      <x:c r="A12" t="str">
        <x:v>5.5</x:v>
      </x:c>
      <x:c r="B12" t="n">
        <x:f>COUNTIFS(Backlog!$H:$H,A12,Backlog!$G:$G,"&lt;&gt;Done")</x:f>
        <x:v>7</x:v>
      </x:c>
      <x:c r="C12" t="str">
        <x:v>Windows/macOS, plugin and IPC coverage</x:v>
      </x:c>
      <x:c r="E12" t="n">
        <x:v>4</x:v>
      </x:c>
      <x:c r="F12" t="str">
        <x:v>Windows/macOS audio + device lifecycle implementation</x:v>
      </x:c>
      <x:c r="G12" t="str">
        <x:v>Physical audio negotiation and persistent hotplug/recovery semantics reach parity with Linux</x:v>
      </x:c>
      <x:c r="H12" t="str">
        <x:v>Platform implementations + CI</x:v>
      </x:c>
    </x:row>
    <x:row r="13" ht="46" hidden="0" customHeight="1">
      <x:c r="A13" t="str">
        <x:v>6.0</x:v>
      </x:c>
      <x:c r="B13" t="n">
        <x:f>COUNTIFS(Backlog!$H:$H,A13,Backlog!$G:$G,"&lt;&gt;Done")</x:f>
        <x:v>11</x:v>
      </x:c>
      <x:c r="C13" t="str">
        <x:v>Named-hardware and production qualification</x:v>
      </x:c>
      <x:c r="E13" t="n">
        <x:v>5</x:v>
      </x:c>
      <x:c r="F13" s="12" t="str">
        <x:v>Full-engine and conversion integration</x:v>
      </x:c>
      <x:c r="G13" s="12" t="str">
        <x:v>Restore full source; connect shared runtime, explicit conversion and native streams</x:v>
      </x:c>
      <x:c r="H13" s="12" t="str">
        <x:v>Full-source bundle + Windows audio host</x:v>
      </x:c>
    </x:row>
    <x:row r="14" ht="15" hidden="0" customHeight="1">
      <x:c r="A14" t="str">
        <x:v>6.x</x:v>
      </x:c>
      <x:c r="B14" t="n">
        <x:f>COUNTIFS(Backlog!$H:$H,A14,Backlog!$G:$G,"&lt;&gt;Done")</x:f>
        <x:v>1</x:v>
      </x:c>
      <x:c r="C14" t="str">
        <x:v>Longer-horizon governance and RF expansion</x:v>
      </x:c>
      <x:c r="E14" t="n">
        <x:v>6</x:v>
      </x:c>
      <x:c r="F14" t="str">
        <x:v>AT/plugins/named-hardware qualification</x:v>
      </x:c>
      <x:c r="G14" t="str">
        <x:v>Accessibility, licensed plugin and stage support claims are measured on actual platforms/hardware</x:v>
      </x:c>
      <x:c r="H14" t="str">
        <x:v>External qualification environments</x:v>
      </x:c>
    </x:row>
    <x:row r="15"/>
    <x:row r="16"/>
    <x:row r="17" ht="15" hidden="0" customHeight="1">
      <x:c r="A17" s="43" t="str">
        <x:v>Operating rule</x:v>
      </x:c>
      <x:c r="B17" s="43"/>
      <x:c r="C17" s="43"/>
      <x:c r="D17" s="43"/>
      <x:c r="E17" s="43"/>
      <x:c r="F17" s="43"/>
      <x:c r="G17" s="43"/>
      <x:c r="H17" s="43"/>
    </x:row>
    <x:row r="18">
      <x:c r="A18" s="49" t="str">
        <x:v>Never convert software evidence into a hardware/stage-support claim. Discovery, simulation, protocol conformance, and unit tests can close software work, but named hardware, timing, RF, audible behavior, and failover still require qualification evidence.</x:v>
      </x:c>
      <x:c r="B18" s="49"/>
      <x:c r="C18" s="49"/>
      <x:c r="D18" s="49"/>
      <x:c r="E18" s="49"/>
      <x:c r="F18" s="49"/>
      <x:c r="G18" s="49"/>
      <x:c r="H18" s="49"/>
    </x:row>
    <x:row r="19">
      <x:c r="A19" s="49"/>
      <x:c r="B19" s="49"/>
      <x:c r="C19" s="49"/>
      <x:c r="D19" s="49"/>
      <x:c r="E19" s="49"/>
      <x:c r="F19" s="49"/>
      <x:c r="G19" s="49"/>
      <x:c r="H19" s="49"/>
    </x:row>
    <x:row r="20">
      <x:c r="A20" s="49"/>
      <x:c r="B20" s="49"/>
      <x:c r="C20" s="49"/>
      <x:c r="D20" s="49"/>
      <x:c r="E20" s="49"/>
      <x:c r="F20" s="49"/>
      <x:c r="G20" s="49"/>
      <x:c r="H20" s="49"/>
    </x:row>
    <x:row r="21"/>
    <x:row r="22" ht="15" hidden="0" customHeight="1">
      <x:c r="A22" s="39" t="str">
        <x:v>Source of truth</x:v>
      </x:c>
      <x:c r="B22" s="39"/>
      <x:c r="C22" s="39"/>
      <x:c r="D22" s="39"/>
      <x:c r="E22" s="39"/>
      <x:c r="F22" s="39"/>
      <x:c r="G22" s="39"/>
      <x:c r="H22" s="39"/>
    </x:row>
    <x:row r="23" ht="66" customHeight="1">
      <x:c r="A23" s="55" t="str">
        <x:v>Checkpoint 83 snapshot retained as the historical source. Evidence refresh 2026-10-03: PR #47 added persistent stage-template editor/storage behavior; PR #48 integrated target-OS native playback through exact hashed endpoint selection, DeviceMonitor, DeviceExecutionFence, explicit conversion policy and fail-closed shutdown. Platform Modules run 37151827147, Native Device Lifecycle run 37151827154, and full CI run 37151827197 passed. No new accepted backlog row was invented for templates. Hosted software evidence does not qualify physical audio/MIDI hardware, audible output, recording quality, deployed services or licensed plugins.</x:v>
      </x:c>
      <x:c r="B23" s="55"/>
      <x:c r="C23" s="55"/>
      <x:c r="D23" s="55"/>
      <x:c r="E23" s="55"/>
      <x:c r="F23" s="55"/>
      <x:c r="G23" s="55"/>
      <x:c r="H23" s="55"/>
    </x:row>
    <x:row r="24">
      <x:c r="A24" s="55"/>
      <x:c r="B24" s="55"/>
      <x:c r="C24" s="55"/>
      <x:c r="D24" s="55"/>
      <x:c r="E24" s="55"/>
      <x:c r="F24" s="55"/>
      <x:c r="G24" s="55"/>
      <x:c r="H24" s="55"/>
    </x:row>
    <x:row r="25">
      <x:c r="A25" s="55"/>
      <x:c r="B25" s="55"/>
      <x:c r="C25" s="55"/>
      <x:c r="D25" s="55"/>
      <x:c r="E25" s="55"/>
      <x:c r="F25" s="55"/>
      <x:c r="G25" s="55"/>
      <x:c r="H25" s="55"/>
    </x:row>
    <x:row r="26">
      <x:c r="A26" s="55"/>
      <x:c r="B26" s="55"/>
      <x:c r="C26" s="55"/>
      <x:c r="D26" s="55"/>
      <x:c r="E26" s="55"/>
      <x:c r="F26" s="55"/>
      <x:c r="G26" s="55"/>
      <x:c r="H26" s="55"/>
    </x:row>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mergeCells>
    <x:mergeCell ref="A1:H1"/>
    <x:mergeCell ref="A2:H2"/>
    <x:mergeCell ref="A17:H17"/>
    <x:mergeCell ref="A18:H20"/>
    <x:mergeCell ref="A22:H22"/>
    <x:mergeCell ref="A23:H26"/>
  </x:mergeCells>
  <x:pageMargins left="0.7" right="0.7" top="0.75" bottom="0.75" header="0.3" footer="0.3"/>
  <x:drawing xmlns:r="http://schemas.openxmlformats.org/officeDocument/2006/relationships" r:id="R4fedcd1e38be4d40"/>
</x:worksheet>
</file>

<file path=xl/worksheets/sheet2.xml><?xml version="1.0" encoding="utf-8"?>
<x:worksheet xmlns:x="http://schemas.openxmlformats.org/spreadsheetml/2006/main">
  <x:sheetFormatPr defaultRowHeight="15"/>
  <x:cols>
    <x:col min="1" max="1" width="12" hidden="0" customWidth="1"/>
    <x:col min="2" max="2" width="20" hidden="0" customWidth="1"/>
    <x:col min="3" max="3" width="18" hidden="0" customWidth="1"/>
    <x:col min="4" max="4" width="34" hidden="0" customWidth="1"/>
    <x:col min="5" max="5" width="38" hidden="0" customWidth="1"/>
    <x:col min="6" max="6" width="13" hidden="0" customWidth="1"/>
    <x:col min="7" max="7" width="13" hidden="0" customWidth="1"/>
    <x:col min="8" max="8" width="13" hidden="0" customWidth="1"/>
    <x:col min="9" max="9" width="13" hidden="0" customWidth="1"/>
    <x:col min="10" max="10" width="25" hidden="0" customWidth="1"/>
    <x:col min="11" max="11" width="44" hidden="0" customWidth="1"/>
    <x:col min="12" max="12" width="34" hidden="0" customWidth="1"/>
    <x:col min="13" max="13" width="12" hidden="0" customWidth="1"/>
    <x:col min="14" max="14" width="28" hidden="0" customWidth="1"/>
    <x:col min="15" max="15" width="12" hidden="0" customWidth="1"/>
  </x:cols>
  <x:sheetData>
    <x:row r="1" ht="15" hidden="0" customHeight="1">
      <x:c r="A1" s="14" t="str">
        <x:v>ID</x:v>
      </x:c>
      <x:c r="B1" s="14" t="str">
        <x:v>Workstream</x:v>
      </x:c>
      <x:c r="C1" s="14" t="str">
        <x:v>Layer</x:v>
      </x:c>
      <x:c r="D1" s="14" t="str">
        <x:v>Work Item</x:v>
      </x:c>
      <x:c r="E1" s="14" t="str">
        <x:v>Outcome</x:v>
      </x:c>
      <x:c r="F1" s="14" t="str">
        <x:v>Priority</x:v>
      </x:c>
      <x:c r="G1" s="14" t="str">
        <x:v>Status</x:v>
      </x:c>
      <x:c r="H1" s="14" t="str">
        <x:v>Phase</x:v>
      </x:c>
      <x:c r="I1" s="14" t="str">
        <x:v>Type</x:v>
      </x:c>
      <x:c r="J1" s="14" t="str">
        <x:v>Dependency / Prerequisite</x:v>
      </x:c>
      <x:c r="K1" s="14" t="str">
        <x:v>Acceptance Criteria</x:v>
      </x:c>
      <x:c r="L1" s="14" t="str">
        <x:v>Verification</x:v>
      </x:c>
      <x:c r="M1" s="14" t="str">
        <x:v>Risk</x:v>
      </x:c>
      <x:c r="N1" s="14" t="str">
        <x:v>Source</x:v>
      </x:c>
      <x:c r="O1" s="14" t="str">
        <x:v>Rank Score</x:v>
      </x:c>
    </x:row>
    <x:row r="2" ht="39.599998474121094" hidden="0" customHeight="1">
      <x:c r="A2" s="15" t="str">
        <x:v>REC-033</x:v>
      </x:c>
      <x:c r="B2" s="15" t="str">
        <x:v>Recovery / Redundancy</x:v>
      </x:c>
      <x:c r="C2" s="15" t="str">
        <x:v>Operations</x:v>
      </x:c>
      <x:c r="D2" s="15" t="str">
        <x:v>Multi-host persistently-fenced-node recovery drill</x:v>
      </x:c>
      <x:c r="E2" s="15" t="str">
        <x:v>Prove the completed recovery protocol across genuinely separate hosts without restoring authority or arming outputs</x:v>
      </x:c>
      <x:c r="F2" s="15" t="str">
        <x:v>P0</x:v>
      </x:c>
      <x:c r="G2" s="15" t="str">
        <x:v>Blocked</x:v>
      </x:c>
      <x:c r="H2" s="15" t="str">
        <x:v>6.0</x:v>
      </x:c>
      <x:c r="I2" s="15" t="str">
        <x:v>Qualification</x:v>
      </x:c>
      <x:c r="J2" s="15" t="str">
        <x:v>WIT-048</x:v>
      </x:c>
      <x:c r="K2" s="15" t="str">
        <x:v>Recovery receipt precedes fence removal; recovered node remains standby/disarmed across a real multi-host drill with one witness unavailable</x:v>
      </x:c>
      <x:c r="L2" s="15" t="str">
        <x:v>Independent multi-host drill with witness, clock and output-state evidence</x:v>
      </x:c>
      <x:c r="M2" s="15" t="str">
        <x:v>Critical</x:v>
      </x:c>
      <x:c r="N2" s="15" t="str">
        <x:v>docs/current-backlog.md priority 1</x:v>
      </x:c>
      <x:c r="O2" s="15" t="n">
        <x:f>IF(G2="Done",0,IF(F2="P0",400,IF(F2="P1",300,IF(F2="P2",200,100)))+IF(G2="In Progress",60,IF(G2="Ready",50,IF(G2="Backlog",30,IF(G2="Blocked",10,0))))+IF(M2="Critical",20,IF(M2="High",10,0)))</x:f>
        <x:v>430</x:v>
      </x:c>
    </x:row>
    <x:row r="3" ht="26.399999618530273" hidden="0" customHeight="1">
      <x:c r="A3" s="15" t="str">
        <x:v>REC-034</x:v>
      </x:c>
      <x:c r="B3" s="15" t="str">
        <x:v>Recovery / Redundancy</x:v>
      </x:c>
      <x:c r="C3" s="15" t="str">
        <x:v>Operations</x:v>
      </x:c>
      <x:c r="D3" s="15" t="str">
        <x:v>Physical independent-witness recovery qualification</x:v>
      </x:c>
      <x:c r="E3" s="15" t="str">
        <x:v>Validate recovery/fencing against witnesses deployed in genuinely separate failure domains</x:v>
      </x:c>
      <x:c r="F3" s="15" t="str">
        <x:v>P0</x:v>
      </x:c>
      <x:c r="G3" s="15" t="str">
        <x:v>Blocked</x:v>
      </x:c>
      <x:c r="H3" s="15" t="str">
        <x:v>6.0</x:v>
      </x:c>
      <x:c r="I3" s="15" t="str">
        <x:v>Qualification</x:v>
      </x:c>
      <x:c r="J3" s="15" t="str">
        <x:v>REC-033, WIT-048</x:v>
      </x:c>
      <x:c r="K3" s="15" t="str">
        <x:v>No StageMesh node, shared host, shared power/network failure domain or single witness can unilaterally authorize recovery</x:v>
      </x:c>
      <x:c r="L3" s="15" t="str">
        <x:v>Independent witness host/network/power failure-domain exercise</x:v>
      </x:c>
      <x:c r="M3" s="15" t="str">
        <x:v>Critical</x:v>
      </x:c>
      <x:c r="N3" s="15" t="str">
        <x:v>docs/current-backlog.md priority 1</x:v>
      </x:c>
      <x:c r="O3" s="15" t="n">
        <x:f>IF(G3="Done",0,IF(F3="P0",400,IF(F3="P2",300,IF(F3="P3",200,100)))+IF(G3="In Progress",60,IF(G3="Ready",50,IF(G3="Backlog",30,IF(G3="Blocked",10,0))))+IF(M3="Critical",20,IF(M3="High",10,0)))</x:f>
        <x:v>430</x:v>
      </x:c>
    </x:row>
    <x:row r="4" ht="39.599998474121094" hidden="0" customHeight="1">
      <x:c r="A4" s="15" t="str">
        <x:v>SEC-033</x:v>
      </x:c>
      <x:c r="B4" s="15" t="str">
        <x:v>Security</x:v>
      </x:c>
      <x:c r="C4" s="15" t="str">
        <x:v>Deployment</x:v>
      </x:c>
      <x:c r="D4" s="15" t="str">
        <x:v>Proxy-HTTPS deployment contract + qualification tooling</x:v>
      </x:c>
      <x:c r="E4" s="15" t="str">
        <x:v>Make the reviewed TLS/auth reverse-proxy boundary machine-checkable while keeping the StageMesh backend loopback-only</x:v>
      </x:c>
      <x:c r="F4" s="15" t="str">
        <x:v>P0</x:v>
      </x:c>
      <x:c r="G4" s="15" t="str">
        <x:v>Done</x:v>
      </x:c>
      <x:c r="H4" s="15" t="str">
        <x:v>5.3</x:v>
      </x:c>
      <x:c r="I4" s="15" t="str">
        <x:v>Software</x:v>
      </x:c>
      <x:c r="J4" s="15" t="str">
        <x:v>Astra 22-32 hardening</x:v>
      </x:c>
      <x:c r="K4" s="15" t="str">
        <x:v>Strict profile rejects unsafe deployment configuration; backend and TLS-edge probes verify the documented contract</x:v>
      </x:c>
      <x:c r="L4" s="15" t="str">
        <x:v>6 deployment tests + live local TLS reference exercise + installer packaging checks</x:v>
      </x:c>
      <x:c r="M4" s="15" t="str">
        <x:v>Critical</x:v>
      </x:c>
      <x:c r="N4" s="15" t="str">
        <x:v>docs/astra-checkpoint-33-validation.md</x:v>
      </x:c>
      <x:c r="O4" s="15" t="n">
        <x:f>IF(G4="Done",0,IF(F4="P0",400,IF(F4="P3",300,IF(F4="P4",200,100)))+IF(G4="In Progress",60,IF(G4="Ready",50,IF(G4="Backlog",30,IF(G4="Blocked",10,0))))+IF(M4="Critical",20,IF(M4="High",10,0)))</x:f>
        <x:v>0</x:v>
      </x:c>
    </x:row>
    <x:row r="5" ht="26.399999618530273" hidden="0" customHeight="1">
      <x:c r="A5" s="15" t="str">
        <x:v>SEC-034</x:v>
      </x:c>
      <x:c r="B5" s="15" t="str">
        <x:v>Security</x:v>
      </x:c>
      <x:c r="C5" s="15" t="str">
        <x:v>Backend</x:v>
      </x:c>
      <x:c r="D5" s="15" t="str">
        <x:v>Authorization-audit retention and rotation</x:v>
      </x:c>
      <x:c r="E5" s="15" t="str">
        <x:v>Bound durable actor/action audit storage without breaking chain verification</x:v>
      </x:c>
      <x:c r="F5" s="15" t="str">
        <x:v>P0</x:v>
      </x:c>
      <x:c r="G5" s="15" t="str">
        <x:v>Done</x:v>
      </x:c>
      <x:c r="H5" s="15" t="str">
        <x:v>5.3</x:v>
      </x:c>
      <x:c r="I5" s="15" t="str">
        <x:v>Software</x:v>
      </x:c>
      <x:c r="J5" s="15" t="str">
        <x:v>SEC-033</x:v>
      </x:c>
      <x:c r="K5" s="15" t="str">
        <x:v>Rotation is atomic, bounded and continuous; pruning commits a cryptographic retention anchor before deletion</x:v>
      </x:c>
      <x:c r="L5" s="15" t="str">
        <x:v>5 retention/rotation durability tests including tamper, ENOSPC and crash residue</x:v>
      </x:c>
      <x:c r="M5" s="15" t="str">
        <x:v>Critical</x:v>
      </x:c>
      <x:c r="N5" s="15" t="str">
        <x:v>docs/astra-checkpoint-34-validation.md</x:v>
      </x:c>
      <x:c r="O5" s="15" t="n">
        <x:f>IF(G5="Done",0,IF(F5="P0",400,IF(F5="P4",300,IF(F5="P5",200,100)))+IF(G5="In Progress",60,IF(G5="Ready",50,IF(G5="Backlog",30,IF(G5="Blocked",10,0))))+IF(M5="Critical",20,IF(M5="High",10,0)))</x:f>
        <x:v>0</x:v>
      </x:c>
    </x:row>
    <x:row r="6" ht="39.599998474121094" hidden="0" customHeight="1">
      <x:c r="A6" s="15" t="str">
        <x:v>SEC-035</x:v>
      </x:c>
      <x:c r="B6" s="15" t="str">
        <x:v>Security</x:v>
      </x:c>
      <x:c r="C6" s="15" t="str">
        <x:v>Backend</x:v>
      </x:c>
      <x:c r="D6" s="15" t="str">
        <x:v>Specialized authorization-audit unification</x:v>
      </x:c>
      <x:c r="E6" s="15" t="str">
        <x:v>Unify durable evidence for admin-token, adapter-report and selected machine-HMAC authorization without widening human roles</x:v>
      </x:c>
      <x:c r="F6" s="15" t="str">
        <x:v>P1</x:v>
      </x:c>
      <x:c r="G6" s="15" t="str">
        <x:v>Done</x:v>
      </x:c>
      <x:c r="H6" s="15" t="str">
        <x:v>5.3</x:v>
      </x:c>
      <x:c r="I6" s="15" t="str">
        <x:v>Software</x:v>
      </x:c>
      <x:c r="J6" s="15" t="str">
        <x:v>SEC-034</x:v>
      </x:c>
      <x:c r="K6" s="15" t="str">
        <x:v>Specialized allow/deny decisions are persisted before execution; machine HMAC evidence is emitted after verification and before mutation; credentials/raw payloads are excluded</x:v>
      </x:c>
      <x:c r="L6" s="15" t="str">
        <x:v>6 new specialized authorization regressions; 506-test release suite; 2/2 native CTest; 117 schemas/OpenAPI; 7 JS syntax checks</x:v>
      </x:c>
      <x:c r="M6" s="15" t="str">
        <x:v>High</x:v>
      </x:c>
      <x:c r="N6" s="15" t="str">
        <x:v>docs/astra-checkpoint-36-validation.md</x:v>
      </x:c>
      <x:c r="O6" s="15" t="n">
        <x:f>IF(G6="Done",0,IF(F6="P0",400,IF(F6="P5",300,IF(F6="P6",200,100)))+IF(G6="In Progress",60,IF(G6="Ready",50,IF(G6="Backlog",30,IF(G6="Blocked",10,0))))+IF(M6="Critical",20,IF(M6="High",10,0)))</x:f>
        <x:v>0</x:v>
      </x:c>
    </x:row>
    <x:row r="7" ht="26.399999618530273" hidden="0" customHeight="1">
      <x:c r="A7" s="15" t="str">
        <x:v>SEC-036</x:v>
      </x:c>
      <x:c r="B7" s="15" t="str">
        <x:v>Security</x:v>
      </x:c>
      <x:c r="C7" s="15" t="str">
        <x:v>Replication</x:v>
      </x:c>
      <x:c r="D7" s="15" t="str">
        <x:v>Witness/replication HMAC key lifecycle and rotation</x:v>
      </x:c>
      <x:c r="E7" s="15" t="str">
        <x:v>Rotate cluster authentication keys without restart, split-brain, silent downgrade, or changing authority semantics</x:v>
      </x:c>
      <x:c r="F7" s="15" t="str">
        <x:v>P0</x:v>
      </x:c>
      <x:c r="G7" s="15" t="str">
        <x:v>Done</x:v>
      </x:c>
      <x:c r="H7" s="15" t="str">
        <x:v>5.3</x:v>
      </x:c>
      <x:c r="I7" s="15" t="str">
        <x:v>Software</x:v>
      </x:c>
      <x:c r="J7" s="15" t="str">
        <x:v>SEC-033</x:v>
      </x:c>
      <x:c r="K7" s="15" t="str">
        <x:v>Old/new overlap is explicit; outbound traffic names the active key; removed keys fail closed; witness quorum operations pin one immutable snapshot</x:v>
      </x:c>
      <x:c r="L7" s="15" t="str">
        <x:v>8 rotation regressions + live witness rotation + 500-test release suite + 2/2 CTest</x:v>
      </x:c>
      <x:c r="M7" s="15" t="str">
        <x:v>Critical</x:v>
      </x:c>
      <x:c r="N7" s="15" t="str">
        <x:v>docs/astra-checkpoint-35-validation.md</x:v>
      </x:c>
      <x:c r="O7" s="15" t="n">
        <x:f>IF(G7="Done",0,IF(F7="P0",400,IF(F7="P6",300,IF(F7="P7",200,100)))+IF(G7="In Progress",60,IF(G7="Ready",50,IF(G7="Backlog",30,IF(G7="Blocked",10,0))))+IF(M7="Critical",20,IF(M7="High",10,0)))</x:f>
        <x:v>0</x:v>
      </x:c>
    </x:row>
    <x:row r="8" ht="26.399999618530273" hidden="0" customHeight="1">
      <x:c r="A8" s="15" t="str">
        <x:v>SEC-037</x:v>
      </x:c>
      <x:c r="B8" s="15" t="str">
        <x:v>Security</x:v>
      </x:c>
      <x:c r="C8" s="15" t="str">
        <x:v>Performance</x:v>
      </x:c>
      <x:c r="D8" s="15" t="str">
        <x:v>Controller workload and rate-policy qualification</x:v>
      </x:c>
      <x:c r="E8" s="15" t="str">
        <x:v>Qualify representative controller HTTP bursts separately from abusive-rate containment without claiming physical controller timing</x:v>
      </x:c>
      <x:c r="F8" s="15" t="str">
        <x:v>P0</x:v>
      </x:c>
      <x:c r="G8" s="15" t="str">
        <x:v>Done</x:v>
      </x:c>
      <x:c r="H8" s="15" t="str">
        <x:v>5.3</x:v>
      </x:c>
      <x:c r="I8" s="15" t="str">
        <x:v>Qualification</x:v>
      </x:c>
      <x:c r="J8" s="15" t="str">
        <x:v>SEC-033, SEC-038</x:v>
      </x:c>
      <x:c r="K8" s="15" t="str">
        <x:v>Deterministic rate model admits representative controller workload beside an abusive peer; live local reference meets normal p95 gate and produces explicit throttling under abuse</x:v>
      </x:c>
      <x:c r="L8" s="15" t="str">
        <x:v>400/400 model controller requests admitted; 802 abusive rejected; live 120/120 normal at 22.903 ms p95; 33/320 abuse requests throttled</x:v>
      </x:c>
      <x:c r="M8" s="15" t="str">
        <x:v>Critical</x:v>
      </x:c>
      <x:c r="N8" s="15" t="str">
        <x:v>docs/astra-checkpoint-38-validation.md</x:v>
      </x:c>
      <x:c r="O8" s="15" t="n">
        <x:f>IF(G8="Done",0,IF(F8="P0",400,IF(F8="P7",300,IF(F8="P8",200,100)))+IF(G8="In Progress",60,IF(G8="Ready",50,IF(G8="Backlog",30,IF(G8="Blocked",10,0))))+IF(M8="Critical",20,IF(M8="High",10,0)))</x:f>
        <x:v>0</x:v>
      </x:c>
    </x:row>
    <x:row r="9" ht="39.599998474121094" hidden="0" customHeight="1">
      <x:c r="A9" s="15" t="str">
        <x:v>SEC-038</x:v>
      </x:c>
      <x:c r="B9" s="15" t="str">
        <x:v>Security</x:v>
      </x:c>
      <x:c r="C9" s="15" t="str">
        <x:v>Backend</x:v>
      </x:c>
      <x:c r="D9" s="15" t="str">
        <x:v>Backend operation-cost bounds</x:v>
      </x:c>
      <x:c r="E9" s="15" t="str">
        <x:v>Prevent known expensive authenticated operations from exhausting the HTTP worker pool or starving ordinary control traffic</x:v>
      </x:c>
      <x:c r="F9" s="15" t="str">
        <x:v>P0</x:v>
      </x:c>
      <x:c r="G9" s="15" t="str">
        <x:v>Done</x:v>
      </x:c>
      <x:c r="H9" s="15" t="str">
        <x:v>5.3</x:v>
      </x:c>
      <x:c r="I9" s="15" t="str">
        <x:v>Software</x:v>
      </x:c>
      <x:c r="J9" s="15" t="str">
        <x:v>SEC-033</x:v>
      </x:c>
      <x:c r="K9" s="15" t="str">
        <x:v>Known expensive routes have explicit non-blocking total/class admission budgets; saturation rejects before body execution and slots are reclaimed on failure</x:v>
      </x:c>
      <x:c r="L9" s="15" t="str">
        <x:v>4 operation-cost regressions; 510-test release suite; 2/2 native CTest; 117 schemas/OpenAPI; 7 JS syntax checks</x:v>
      </x:c>
      <x:c r="M9" s="15" t="str">
        <x:v>Critical</x:v>
      </x:c>
      <x:c r="N9" s="15" t="str">
        <x:v>docs/astra-checkpoint-37-validation.md</x:v>
      </x:c>
      <x:c r="O9" s="15" t="n">
        <x:f>IF(G9="Done",0,IF(F9="P0",400,IF(F9="P8",300,IF(F9="P9",200,100)))+IF(G9="In Progress",60,IF(G9="Ready",50,IF(G9="Backlog",30,IF(G9="Blocked",10,0))))+IF(M9="Critical",20,IF(M9="High",10,0)))</x:f>
        <x:v>0</x:v>
      </x:c>
    </x:row>
    <x:row r="10" ht="26.399999618530273" hidden="0" customHeight="1">
      <x:c r="A10" s="15" t="str">
        <x:v>SEC-039</x:v>
      </x:c>
      <x:c r="B10" s="15" t="str">
        <x:v>Security</x:v>
      </x:c>
      <x:c r="C10" s="15" t="str">
        <x:v>Witness</x:v>
      </x:c>
      <x:c r="D10" s="15" t="str">
        <x:v>Independent witness clock/failure-domain deployment qualification</x:v>
      </x:c>
      <x:c r="E10" s="15" t="str">
        <x:v>Measure the real clock, network and failure-domain assumptions that still gate production quorum/failover confidence</x:v>
      </x:c>
      <x:c r="F10" s="15" t="str">
        <x:v>P0</x:v>
      </x:c>
      <x:c r="G10" s="15" t="str">
        <x:v>Blocked</x:v>
      </x:c>
      <x:c r="H10" s="15" t="str">
        <x:v>5.3</x:v>
      </x:c>
      <x:c r="I10" s="15" t="str">
        <x:v>Qualification</x:v>
      </x:c>
      <x:c r="J10" s="15" t="str">
        <x:v>WIT-048, REC-034</x:v>
      </x:c>
      <x:c r="K10" s="15" t="str">
        <x:v>Actual witness hosts maintain the accepted skew bound and survive declared single-domain failures without manufacturing two authorities</x:v>
      </x:c>
      <x:c r="L10" s="15" t="str">
        <x:v>Real multi-host skew, partition, one-/two-witness-loss and custody/rotation exercise</x:v>
      </x:c>
      <x:c r="M10" s="15" t="str">
        <x:v>Critical</x:v>
      </x:c>
      <x:c r="N10" s="15" t="str">
        <x:v>docs/current-backlog.md priority 2</x:v>
      </x:c>
      <x:c r="O10" s="15" t="n">
        <x:f>IF(G10="Done",0,IF(F10="P0",400,IF(F10="P9",300,IF(F10="P10",200,100)))+IF(G10="In Progress",60,IF(G10="Ready",50,IF(G10="Backlog",30,IF(G10="Blocked",10,0))))+IF(M10="Critical",20,IF(M10="High",10,0)))</x:f>
        <x:v>430</x:v>
      </x:c>
    </x:row>
    <x:row r="11" ht="39.599998474121094" hidden="0" customHeight="1">
      <x:c r="A11" s="15" t="str">
        <x:v>DAW-033</x:v>
      </x:c>
      <x:c r="B11" s="15" t="str">
        <x:v>DAW</x:v>
      </x:c>
      <x:c r="C11" s="15" t="str">
        <x:v>Storage</x:v>
      </x:c>
      <x:c r="D11" s="15" t="str">
        <x:v>Power-loss recovery for temporary resources</x:v>
      </x:c>
      <x:c r="E11" s="15" t="str">
        <x:v>Make crash-visible staging, snapshots and plugin scratch conservatively recoverable without deleting replacement objects</x:v>
      </x:c>
      <x:c r="F11" s="15" t="str">
        <x:v>P1</x:v>
      </x:c>
      <x:c r="G11" s="15" t="str">
        <x:v>Done</x:v>
      </x:c>
      <x:c r="H11" s="15" t="str">
        <x:v>5.4</x:v>
      </x:c>
      <x:c r="I11" s="15" t="str">
        <x:v>Software</x:v>
      </x:c>
      <x:c r="J11" s="15" t="str">
        <x:v>Completed temporary-resource lifecycle</x:v>
      </x:c>
      <x:c r="K11" s="15" t="str">
        <x:v>Versioned fsynced owner manifests bind exact process generation to device/inode identity; legacy/malformed/replaced objects are preserved and cleanup rechecks identity before deletion</x:v>
      </x:c>
      <x:c r="L11" s="15" t="str">
        <x:v>38 focused durability tests; 524-test release suite; 2/2 RT CTest; 117 schemas/OpenAPI; 7 JS syntax checks</x:v>
      </x:c>
      <x:c r="M11" s="15" t="str">
        <x:v>High</x:v>
      </x:c>
      <x:c r="N11" s="15" t="str">
        <x:v>docs/astra-checkpoint-40-validation.md</x:v>
      </x:c>
      <x:c r="O11" s="15" t="n">
        <x:f>IF(G11="Done",0,IF(F11="P0",400,IF(F11="P10",300,IF(F11="P11",200,100)))+IF(G11="In Progress",60,IF(G11="Ready",50,IF(G11="Backlog",30,IF(G11="Blocked",10,0))))+IF(M11="Critical",20,IF(M11="High",10,0)))</x:f>
        <x:v>0</x:v>
      </x:c>
    </x:row>
    <x:row r="12" ht="26.399999618530273" hidden="0" customHeight="1">
      <x:c r="A12" s="15" t="str">
        <x:v>DAW-034</x:v>
      </x:c>
      <x:c r="B12" s="15" t="str">
        <x:v>DAW</x:v>
      </x:c>
      <x:c r="C12" s="15" t="str">
        <x:v>Storage</x:v>
      </x:c>
      <x:c r="D12" s="15" t="str">
        <x:v>Parent-directory durability for published recordings</x:v>
      </x:c>
      <x:c r="E12" s="15" t="str">
        <x:v>Raise recording publication from file-sync durability to explicit parent-directory durability on Linux</x:v>
      </x:c>
      <x:c r="F12" s="15" t="str">
        <x:v>P1</x:v>
      </x:c>
      <x:c r="G12" s="15" t="str">
        <x:v>Done</x:v>
      </x:c>
      <x:c r="H12" s="15" t="str">
        <x:v>5.4</x:v>
      </x:c>
      <x:c r="I12" s="15" t="str">
        <x:v>Software</x:v>
      </x:c>
      <x:c r="J12" s="15" t="str">
        <x:v>DAW-033</x:v>
      </x:c>
      <x:c r="K12" s="15" t="str">
        <x:v>Completed WAV bytes are fsynced; non-replacing hard-link publication and partial cleanup each have explicit parent-directory sync ordering with retry-safe failure behavior</x:v>
      </x:c>
      <x:c r="L12" s="15" t="str">
        <x:v>20 focused recording tests; 527-test release suite; 2/2 RT CTest; 117 schemas/OpenAPI; 7 JS syntax checks</x:v>
      </x:c>
      <x:c r="M12" s="15" t="str">
        <x:v>High</x:v>
      </x:c>
      <x:c r="N12" s="15" t="str">
        <x:v>docs/astra-checkpoint-41-validation.md</x:v>
      </x:c>
      <x:c r="O12" s="15" t="n">
        <x:f>IF(G12="Done",0,IF(F12="P0",400,IF(F12="P11",300,IF(F12="P12",200,100)))+IF(G12="In Progress",60,IF(G12="Ready",50,IF(G12="Backlog",30,IF(G12="Blocked",10,0))))+IF(M12="Critical",20,IF(M12="High",10,0)))</x:f>
        <x:v>0</x:v>
      </x:c>
    </x:row>
    <x:row r="13" ht="26.399999618530273" hidden="0" customHeight="1">
      <x:c r="A13" s="15" t="str">
        <x:v>DAW-035</x:v>
      </x:c>
      <x:c r="B13" s="15" t="str">
        <x:v>DAW</x:v>
      </x:c>
      <x:c r="C13" s="15" t="str">
        <x:v>Playback</x:v>
      </x:c>
      <x:c r="D13" s="15" t="str">
        <x:v>Sample-exact loop wraps and arbitrary loop lengths</x:v>
      </x:c>
      <x:c r="E13" s="15" t="str">
        <x:v>Allow any positive arrangement/clip loop span while preserving exact software wrap position through fixed-size producer/native blocks</x:v>
      </x:c>
      <x:c r="F13" s="15" t="str">
        <x:v>P1</x:v>
      </x:c>
      <x:c r="G13" s="15" t="str">
        <x:v>Done</x:v>
      </x:c>
      <x:c r="H13" s="15" t="str">
        <x:v>5.4</x:v>
      </x:c>
      <x:c r="I13" s="15" t="str">
        <x:v>Software</x:v>
      </x:c>
      <x:c r="J13" s="15" t="str">
        <x:v>DAW playback producer + native queue</x:v>
      </x:c>
      <x:c r="K13" s="15" t="str">
        <x:v>Producer wraps exact source slices inside a block without silence padding; clip loops keep exact length; native playhead advances modulo the exact span and counts multiple wraps</x:v>
      </x:c>
      <x:c r="L13" s="15" t="str">
        <x:v>529-test release suite; 2/2 RT CTest; focused 3-frame/8-frame, 257-frame clip and live 300-frame loop regressions</x:v>
      </x:c>
      <x:c r="M13" s="15" t="str">
        <x:v>High</x:v>
      </x:c>
      <x:c r="N13" s="15" t="str">
        <x:v>docs/astra-checkpoint-42-validation.md</x:v>
      </x:c>
      <x:c r="O13" s="15" t="n">
        <x:f>IF(G13="Done",0,IF(F13="P0",400,IF(F13="P12",300,IF(F13="P13",200,100)))+IF(G13="In Progress",60,IF(G13="Ready",50,IF(G13="Backlog",30,IF(G13="Blocked",10,0))))+IF(M13="Critical",20,IF(M13="High",10,0)))</x:f>
        <x:v>0</x:v>
      </x:c>
    </x:row>
    <x:row r="14" ht="26.399999618530273" hidden="0" customHeight="1">
      <x:c r="A14" s="15" t="str">
        <x:v>AUD-033</x:v>
      </x:c>
      <x:c r="B14" s="15" t="str">
        <x:v>Audio</x:v>
      </x:c>
      <x:c r="C14" s="15" t="str">
        <x:v>Native</x:v>
      </x:c>
      <x:c r="D14" s="15" t="str">
        <x:v>Linux integer + multichannel physical PCM conversion adapters</x:v>
      </x:c>
      <x:c r="E14" s="15" t="str">
        <x:v>Execute explicit Linux ALSA integer-format and channel-layout plans on the live playback/capture path</x:v>
      </x:c>
      <x:c r="F14" s="15" t="str">
        <x:v>P0</x:v>
      </x:c>
      <x:c r="G14" s="15" t="str">
        <x:v>Done</x:v>
      </x:c>
      <x:c r="H14" s="15" t="str">
        <x:v>5.2</x:v>
      </x:c>
      <x:c r="I14" s="15" t="str">
        <x:v>Software</x:v>
      </x:c>
      <x:c r="J14" s="15" t="str">
        <x:v>Linux audio negotiation contract</x:v>
      </x:c>
      <x:c r="K14" s="15" t="str">
        <x:v>FLOAT_LE, S16_LE, S24_3LE and S32_LE plus explicit mono/multichannel matrices execute with preallocated bounded conversion and no silent fallback</x:v>
      </x:c>
      <x:c r="L14" s="15" t="str">
        <x:v>516-test release suite; 2/2 RT native CTest; live ALSA-null 4ch S16 playback + 4ch S24_3LE capture</x:v>
      </x:c>
      <x:c r="M14" s="15" t="str">
        <x:v>Critical</x:v>
      </x:c>
      <x:c r="N14" s="15" t="str">
        <x:v>docs/astra-checkpoint-39-validation.md</x:v>
      </x:c>
      <x:c r="O14" s="15" t="n">
        <x:f>IF(G14="Done",0,IF(F14="P0",400,IF(F14="P13",300,IF(F14="P14",200,100)))+IF(G14="In Progress",60,IF(G14="Ready",50,IF(G14="Backlog",30,IF(G14="Blocked",10,0))))+IF(M14="Critical",20,IF(M14="High",10,0)))</x:f>
        <x:v>0</x:v>
      </x:c>
    </x:row>
    <x:row r="15" ht="26.399999618530273" hidden="0" customHeight="1">
      <x:c r="A15" s="15" t="str">
        <x:v>AUD-034</x:v>
      </x:c>
      <x:c r="B15" s="15" t="str">
        <x:v>Audio</x:v>
      </x:c>
      <x:c r="C15" s="15" t="str">
        <x:v>QA</x:v>
      </x:c>
      <x:c r="D15" s="15" t="str">
        <x:v>Conversion quality measurement</x:v>
      </x:c>
      <x:c r="E15" s="15" t="str">
        <x:v>Quantify noise, distortion, phase continuity and resampling quality across supported conversions</x:v>
      </x:c>
      <x:c r="F15" s="15" t="str">
        <x:v>P0</x:v>
      </x:c>
      <x:c r="G15" s="15" t="str">
        <x:v>Blocked</x:v>
      </x:c>
      <x:c r="H15" s="15" t="str">
        <x:v>6.0</x:v>
      </x:c>
      <x:c r="I15" s="15" t="str">
        <x:v>Qualification</x:v>
      </x:c>
      <x:c r="J15" s="15" t="str">
        <x:v>AUD-033</x:v>
      </x:c>
      <x:c r="K15" s="15" t="str">
        <x:v>Published numeric error/SNR/THD+N/continuity envelope for each supported conversion path</x:v>
      </x:c>
      <x:c r="L15" s="15" t="str">
        <x:v>Reference-signal measurement suite</x:v>
      </x:c>
      <x:c r="M15" s="15" t="str">
        <x:v>Critical</x:v>
      </x:c>
      <x:c r="N15" s="15" t="str">
        <x:v>docs/current-backlog.md priority 4</x:v>
      </x:c>
      <x:c r="O15" s="15" t="n">
        <x:f>IF(G15="Done",0,IF(F15="P0",400,IF(F15="P14",300,IF(F15="P15",200,100)))+IF(G15="In Progress",60,IF(G15="Ready",50,IF(G15="Backlog",30,IF(G15="Blocked",10,0))))+IF(M15="Critical",20,IF(M15="High",10,0)))</x:f>
        <x:v>430</x:v>
      </x:c>
    </x:row>
    <x:row r="16" ht="174" hidden="0" customHeight="1">
      <x:c r="A16" s="15" t="str">
        <x:v>AUD-035</x:v>
      </x:c>
      <x:c r="B16" s="15" t="str">
        <x:v>Audio</x:v>
      </x:c>
      <x:c r="C16" s="15" t="str">
        <x:v>Platform</x:v>
      </x:c>
      <x:c r="D16" s="15" t="str">
        <x:v>Windows exact audio preflight/configuration + stream adapter</x:v>
      </x:c>
      <x:c r="E16" s="15" t="str">
        <x:v>Implement WASAPI endpoint capability/configuration evidence and physical stream open/close using checkpoint-58 backend-neutral fencing</x:v>
      </x:c>
      <x:c r="F16" s="15" t="str">
        <x:v>P0</x:v>
      </x:c>
      <x:c r="G16" s="15" t="str">
        <x:v>In Progress</x:v>
      </x:c>
      <x:c r="H16" s="15" t="str">
        <x:v>5.5</x:v>
      </x:c>
      <x:c r="I16" s="15" t="str">
        <x:v>Software</x:v>
      </x:c>
      <x:c r="J16" s="15" t="str">
        <x:v>AUD-033, Checkpoint 58 runtime fencing</x:v>
      </x:c>
      <x:c r="K16" s="15" t="str">
        <x:v>Windows adapter reports requested/configured rate/period/channels/format exactly, applies only explicit conversion plans, and uses shared post-start identity revalidation/stop-on-loss</x:v>
      </x:c>
      <x:c r="L16" s="15" t="str">
        <x:v>Hosted Windows CI run 37151827197 builds the full engine; Native Device Lifecycle run 37151827154 passes the Windows device lifecycle and playback-service smoke. PR #48 routes WASAPI activation through exact hashed endpoint selection, explicit conversion policy, fence revalidation and fail-closed shutdown. Hosted Windows has no physical endpoint, so selected-endpoint readback/I/O remains unqualified.</x:v>
      </x:c>
      <x:c r="M16" s="15" t="str">
        <x:v>Critical</x:v>
      </x:c>
      <x:c r="N16" s="15" t="str">
        <x:v>PR #48 https://github.com/colinatwood/stagemesh/pull/48; CI 37151827154 and 37151827197; hosted software evidence only</x:v>
      </x:c>
      <x:c r="O16" s="15" t="n">
        <x:f>IF(G16="Done",0,IF(F16="P0",400,IF(F16="P15",300,IF(F16="P16",200,100)))+IF(G16="In Progress",60,IF(G16="Ready",50,IF(G16="Backlog",30,IF(G16="Blocked",10,0))))+IF(M16="Critical",20,IF(M16="High",10,0)))</x:f>
        <x:v>480</x:v>
      </x:c>
    </x:row>
    <x:row r="17" ht="174" hidden="0" customHeight="1">
      <x:c r="A17" s="15" t="str">
        <x:v>AUD-036</x:v>
      </x:c>
      <x:c r="B17" s="15" t="str">
        <x:v>Audio</x:v>
      </x:c>
      <x:c r="C17" s="15" t="str">
        <x:v>Platform</x:v>
      </x:c>
      <x:c r="D17" s="15" t="str">
        <x:v>macOS exact audio preflight/configuration + stream adapter</x:v>
      </x:c>
      <x:c r="E17" s="15" t="str">
        <x:v>Implement CoreAudio capability/configuration evidence and physical stream open/close using checkpoint-58 backend-neutral fencing</x:v>
      </x:c>
      <x:c r="F17" s="15" t="str">
        <x:v>P0</x:v>
      </x:c>
      <x:c r="G17" s="15" t="str">
        <x:v>In Progress</x:v>
      </x:c>
      <x:c r="H17" s="15" t="str">
        <x:v>5.5</x:v>
      </x:c>
      <x:c r="I17" s="15" t="str">
        <x:v>Software</x:v>
      </x:c>
      <x:c r="J17" s="15" t="str">
        <x:v>AUD-033, Checkpoint 58 runtime fencing</x:v>
      </x:c>
      <x:c r="K17" s="15" t="str">
        <x:v>CoreAudio adapter reports requested/configured rate/buffer/channels/format exactly, applies only explicit conversion plans, and uses shared post-start identity revalidation/stop-on-loss</x:v>
      </x:c>
      <x:c r="L17" s="15" t="str">
        <x:v>Hosted macOS CI runs 37151827197 and 37151827154 build the full engine and pass native playback-service/device lifecycle smoke. PR #48 routes CoreAudio through exact hashed endpoint selection, explicit conversion policy, fence revalidation and fail-closed shutdown. Physical device readback and audible output remain unqualified.</x:v>
      </x:c>
      <x:c r="M17" s="15" t="str">
        <x:v>Critical</x:v>
      </x:c>
      <x:c r="N17" s="15" t="str">
        <x:v>PR #48 https://github.com/colinatwood/stagemesh/pull/48; CI 37151827154 and 37151827197; hosted software evidence only</x:v>
      </x:c>
      <x:c r="O17" s="15" t="n">
        <x:f>IF(G17="Done",0,IF(F17="P0",400,IF(F17="P16",300,IF(F17="P17",200,100)))+IF(G17="In Progress",60,IF(G17="Ready",50,IF(G17="Backlog",30,IF(G17="Blocked",10,0))))+IF(M17="Critical",20,IF(M17="High",10,0)))</x:f>
        <x:v>480</x:v>
      </x:c>
    </x:row>
    <x:row r="18" ht="174" hidden="0" customHeight="1">
      <x:c r="A18" s="15" t="str">
        <x:v>DEV-033</x:v>
      </x:c>
      <x:c r="B18" s="15" t="str">
        <x:v>Devices</x:v>
      </x:c>
      <x:c r="C18" s="15" t="str">
        <x:v>Platform</x:v>
      </x:c>
      <x:c r="D18" s="15" t="str">
        <x:v>Windows audio/MIDI enumeration + hotplug integration</x:v>
      </x:c>
      <x:c r="E18" s="15" t="str">
        <x:v>Feed real Windows endpoint/MIDI enumeration and change notifications into the checkpoint-57 fail-closed lifecycle reconciler</x:v>
      </x:c>
      <x:c r="F18" s="15" t="str">
        <x:v>P0</x:v>
      </x:c>
      <x:c r="G18" s="15" t="str">
        <x:v>In Progress</x:v>
      </x:c>
      <x:c r="H18" s="15" t="str">
        <x:v>5.5</x:v>
      </x:c>
      <x:c r="I18" s="15" t="str">
        <x:v>Software</x:v>
      </x:c>
      <x:c r="J18" s="15" t="str">
        <x:v>Checkpoints 75/76 native identity resolver and execution fence; full-engine integration remains</x:v>
      </x:c>
      <x:c r="K18" s="15" t="str">
        <x:v>Windows platform adapters provide persistence-grade identities where available; disconnect/identity change stops unsafe streams, ambiguity blocks rebind, and strong identity may reattach only to one exact replacement</x:v>
      </x:c>
      <x:c r="L18" s="15" t="str">
        <x:v>PR #48 integrates NativePlaybackService with DeviceMonitor and DeviceExecutionFence in the full engine; Windows CI runs 37151827197 and 37151827154 pass build/lifecycle smoke. Hosted Windows has no physical endpoint, so live PnP/MIDI hotplug and exact replacement on target hardware remain unqualified.</x:v>
      </x:c>
      <x:c r="M18" s="15" t="str">
        <x:v>Critical</x:v>
      </x:c>
      <x:c r="N18" s="15" t="str">
        <x:v>PR #48 https://github.com/colinatwood/stagemesh/pull/48; CI 37151827154 and 37151827197; hosted software evidence only</x:v>
      </x:c>
      <x:c r="O18" s="15" t="n">
        <x:f>IF(G18="Done",0,IF(F18="P0",400,IF(F18="P17",300,IF(F18="P18",200,100)))+IF(G18="In Progress",60,IF(G18="Ready",50,IF(G18="Backlog",30,IF(G18="Blocked",10,0))))+IF(M18="Critical",20,IF(M18="High",10,0)))</x:f>
        <x:v>480</x:v>
      </x:c>
    </x:row>
    <x:row r="19" ht="174" hidden="0" customHeight="1">
      <x:c r="A19" s="15" t="str">
        <x:v>DEV-034</x:v>
      </x:c>
      <x:c r="B19" s="15" t="str">
        <x:v>Devices</x:v>
      </x:c>
      <x:c r="C19" s="15" t="str">
        <x:v>Platform</x:v>
      </x:c>
      <x:c r="D19" s="15" t="str">
        <x:v>macOS audio/MIDI enumeration + hotplug integration</x:v>
      </x:c>
      <x:c r="E19" s="15" t="str">
        <x:v>Feed real CoreAudio/CoreMIDI enumeration and change notifications into the checkpoint-57 fail-closed lifecycle reconciler</x:v>
      </x:c>
      <x:c r="F19" s="15" t="str">
        <x:v>P0</x:v>
      </x:c>
      <x:c r="G19" s="15" t="str">
        <x:v>In Progress</x:v>
      </x:c>
      <x:c r="H19" s="15" t="str">
        <x:v>5.5</x:v>
      </x:c>
      <x:c r="I19" s="15" t="str">
        <x:v>Software</x:v>
      </x:c>
      <x:c r="J19" s="15" t="str">
        <x:v>Checkpoints 75/76 CoreAudio/CoreMIDI identity resolver and execution fence; full-engine integration remains</x:v>
      </x:c>
      <x:c r="K19" s="15" t="str">
        <x:v>CoreAudio/CoreMIDI adapters provide hashed persistent identities; disconnect/identity change stops unsafe streams, ambiguity blocks rebind, and recovery remains explicit when evidence weakens</x:v>
      </x:c>
      <x:c r="L19" s="15" t="str">
        <x:v>PR #48 integrates target-OS playback with DeviceMonitor and DeviceExecutionFence; macOS CI runs 37151827197 and 37151827154 pass build/lifecycle smoke. Hosted macOS covers software endpoint/absence paths; physical CoreAudio/CoreMIDI churn, audible output and exact replacement remain unqualified.</x:v>
      </x:c>
      <x:c r="M19" s="15" t="str">
        <x:v>Critical</x:v>
      </x:c>
      <x:c r="N19" s="15" t="str">
        <x:v>PR #48 https://github.com/colinatwood/stagemesh/pull/48; CI 37151827154 and 37151827197; hosted software evidence only</x:v>
      </x:c>
      <x:c r="O19" s="15" t="n">
        <x:f>IF(G19="Done",0,IF(F19="P0",400,IF(F19="P18",300,IF(F19="P19",200,100)))+IF(G19="In Progress",60,IF(G19="Ready",50,IF(G19="Backlog",30,IF(G19="Blocked",10,0))))+IF(M19="Critical",20,IF(M19="High",10,0)))</x:f>
        <x:v>480</x:v>
      </x:c>
    </x:row>
    <x:row r="20" ht="26.399999618530273" hidden="0" customHeight="1">
      <x:c r="A20" s="15" t="str">
        <x:v>DEV-035</x:v>
      </x:c>
      <x:c r="B20" s="15" t="str">
        <x:v>Devices</x:v>
      </x:c>
      <x:c r="C20" s="15" t="str">
        <x:v>QA</x:v>
      </x:c>
      <x:c r="D20" s="15" t="str">
        <x:v>Physical hotplug qualification</x:v>
      </x:c>
      <x:c r="E20" s="15" t="str">
        <x:v>Measure repeated unplug/replug/re-enumeration behavior on named devices</x:v>
      </x:c>
      <x:c r="F20" s="15" t="str">
        <x:v>P0</x:v>
      </x:c>
      <x:c r="G20" s="15" t="str">
        <x:v>Deferred</x:v>
      </x:c>
      <x:c r="H20" s="15" t="str">
        <x:v>6.0</x:v>
      </x:c>
      <x:c r="I20" s="15" t="str">
        <x:v>Qualification</x:v>
      </x:c>
      <x:c r="J20" s="15" t="str">
        <x:v>DEV-033, DEV-034</x:v>
      </x:c>
      <x:c r="K20" s="15" t="str">
        <x:v>No crash, stale authority, accidental re-arm or identity confusion across repeated device churn</x:v>
      </x:c>
      <x:c r="L20" s="15" t="str">
        <x:v>Named-device hotplug soak</x:v>
      </x:c>
      <x:c r="M20" s="15" t="str">
        <x:v>Critical</x:v>
      </x:c>
      <x:c r="N20" s="15" t="str">
        <x:v>docs/current-backlog.md priority 5</x:v>
      </x:c>
      <x:c r="O20" s="15" t="n">
        <x:f>IF(G20="Done",0,IF(F20="P0",400,IF(F20="P19",300,IF(F20="P20",200,100)))+IF(G20="In Progress",60,IF(G20="Ready",50,IF(G20="Backlog",30,IF(G20="Blocked",10,0))))+IF(M20="Critical",20,IF(M20="High",10,0)))</x:f>
        <x:v>420</x:v>
      </x:c>
    </x:row>
    <x:row r="21" ht="39.599998474121094" hidden="0" customHeight="1">
      <x:c r="A21" s="15" t="str">
        <x:v>DRV-033</x:v>
      </x:c>
      <x:c r="B21" s="15" t="str">
        <x:v>Driver Compatibility</x:v>
      </x:c>
      <x:c r="C21" s="15" t="str">
        <x:v>Data</x:v>
      </x:c>
      <x:c r="D21" s="15" t="str">
        <x:v>Reviewed vendor driver catalog entries</x:v>
      </x:c>
      <x:c r="E21" s="15" t="str">
        <x:v>Maintain a small provenance-bearing package-metadata catalog with proactive expiry auditing, without turning package records into compatibility or qualification claims</x:v>
      </x:c>
      <x:c r="F21" s="15" t="str">
        <x:v>P1</x:v>
      </x:c>
      <x:c r="G21" s="15" t="str">
        <x:v>Done</x:v>
      </x:c>
      <x:c r="H21" s="15" t="str">
        <x:v>5.3</x:v>
      </x:c>
      <x:c r="I21" s="15" t="str">
        <x:v>Software</x:v>
      </x:c>
      <x:c r="J21" s="15" t="str">
        <x:v>Existing exact catalog matching</x:v>
      </x:c>
      <x:c r="K21" s="15" t="str">
        <x:v>Current exact entries carry product/version/platform/review-expiry/confidence and multi-source evidence; offline audit surfaces due/stale/unreviewed/invalid records before expiry</x:v>
      </x:c>
      <x:c r="L21" s="15" t="str">
        <x:v>Five reviewed Windows records; 10/10 driver catalog/audit tests; 572-test release suite; installed audit CLI</x:v>
      </x:c>
      <x:c r="M21" s="15" t="str">
        <x:v>Medium</x:v>
      </x:c>
      <x:c r="N21" s="15" t="str">
        <x:v>docs/astra-checkpoint-53-validation.md</x:v>
      </x:c>
      <x:c r="O21" s="15" t="n">
        <x:f>IF(G21="Done",0,IF(F21="P0",400,IF(F21="P20",300,IF(F21="P21",200,100)))+IF(G21="In Progress",60,IF(G21="Ready",50,IF(G21="Backlog",30,IF(G21="Blocked",10,0))))+IF(M21="Critical",20,IF(M21="High",10,0)))</x:f>
        <x:v>0</x:v>
      </x:c>
    </x:row>
    <x:row r="22" ht="26.399999618530273" hidden="0" customHeight="1">
      <x:c r="A22" s="15" t="str">
        <x:v>DRV-034</x:v>
      </x:c>
      <x:c r="B22" s="15" t="str">
        <x:v>Driver Compatibility</x:v>
      </x:c>
      <x:c r="C22" s="15" t="str">
        <x:v>Platform</x:v>
      </x:c>
      <x:c r="D22" s="15" t="str">
        <x:v>Windows endpoint/driver evidence adapter</x:v>
      </x:c>
      <x:c r="E22" s="15" t="str">
        <x:v>Map Windows AudioEndpoint presence and installed signed MEDIA-driver identity into the diagnostics model without exposing full instance identifiers</x:v>
      </x:c>
      <x:c r="F22" s="15" t="str">
        <x:v>P1</x:v>
      </x:c>
      <x:c r="G22" s="15" t="str">
        <x:v>Done</x:v>
      </x:c>
      <x:c r="H22" s="15" t="str">
        <x:v>5.5</x:v>
      </x:c>
      <x:c r="I22" s="15" t="str">
        <x:v>Software</x:v>
      </x:c>
      <x:c r="J22" s="15" t="str">
        <x:v>DRV-033</x:v>
      </x:c>
      <x:c r="K22" s="15" t="str">
        <x:v>Endpoint hashes, safe VID/PID and installed provider/version/INF/signature evidence remain distinct from reviewed package metadata and never authorize installation</x:v>
      </x:c>
      <x:c r="L22" s="15" t="str">
        <x:v>Fixed read-only PowerShell adapter + privacy/failure-isolation fixtures; real Windows host execution remains qualification</x:v>
      </x:c>
      <x:c r="M22" s="15" t="str">
        <x:v>High</x:v>
      </x:c>
      <x:c r="N22" s="15" t="str">
        <x:v>docs/astra-checkpoint-55-validation.md</x:v>
      </x:c>
      <x:c r="O22" s="15" t="n">
        <x:f>IF(G22="Done",0,IF(F22="P0",400,IF(F22="P21",300,IF(F22="P22",200,100)))+IF(G22="In Progress",60,IF(G22="Ready",50,IF(G22="Backlog",30,IF(G22="Blocked",10,0))))+IF(M22="Critical",20,IF(M22="High",10,0)))</x:f>
        <x:v>0</x:v>
      </x:c>
    </x:row>
    <x:row r="23" ht="26.399999618530273" hidden="0" customHeight="1">
      <x:c r="A23" s="15" t="str">
        <x:v>DRV-035</x:v>
      </x:c>
      <x:c r="B23" s="15" t="str">
        <x:v>Driver Compatibility</x:v>
      </x:c>
      <x:c r="C23" s="15" t="str">
        <x:v>Platform</x:v>
      </x:c>
      <x:c r="D23" s="15" t="str">
        <x:v>macOS endpoint/driver evidence adapter</x:v>
      </x:c>
      <x:c r="E23" s="15" t="str">
        <x:v>Represent CoreAudio device evidence in the diagnostics model without inventing Windows-style package semantics</x:v>
      </x:c>
      <x:c r="F23" s="15" t="str">
        <x:v>P1</x:v>
      </x:c>
      <x:c r="G23" s="15" t="str">
        <x:v>Done</x:v>
      </x:c>
      <x:c r="H23" s="15" t="str">
        <x:v>5.5</x:v>
      </x:c>
      <x:c r="I23" s="15" t="str">
        <x:v>Software</x:v>
      </x:c>
      <x:c r="J23" s="15" t="str">
        <x:v>DRV-033</x:v>
      </x:c>
      <x:c r="K23" s="15" t="str">
        <x:v>CoreAudio device UID material is hashed; manufacturer/transport/channel hints are normalized when present; package/INF/version claims remain absent</x:v>
      </x:c>
      <x:c r="L23" s="15" t="str">
        <x:v>system_profiler SPAudioDataType fixture/integration coverage; real macOS host execution remains qualification</x:v>
      </x:c>
      <x:c r="M23" s="15" t="str">
        <x:v>High</x:v>
      </x:c>
      <x:c r="N23" s="15" t="str">
        <x:v>docs/astra-checkpoint-55-validation.md</x:v>
      </x:c>
      <x:c r="O23" s="15" t="n">
        <x:f>IF(G23="Done",0,IF(F23="P0",400,IF(F23="P22",300,IF(F23="P23",200,100)))+IF(G23="In Progress",60,IF(G23="Ready",50,IF(G23="Backlog",30,IF(G23="Blocked",10,0))))+IF(M23="Critical",20,IF(M23="High",10,0)))</x:f>
        <x:v>0</x:v>
      </x:c>
    </x:row>
    <x:row r="24" ht="26.399999618530273" hidden="0" customHeight="1">
      <x:c r="A24" s="15" t="str">
        <x:v>LIVE-033</x:v>
      </x:c>
      <x:c r="B24" s="15" t="str">
        <x:v>Live Audio</x:v>
      </x:c>
      <x:c r="C24" s="15" t="str">
        <x:v>QA</x:v>
      </x:c>
      <x:c r="D24" s="15" t="str">
        <x:v>Physical/audible streaming-voice soak</x:v>
      </x:c>
      <x:c r="E24" s="15" t="str">
        <x:v>Validate the 16-voice streaming engine under real storage/audio timing</x:v>
      </x:c>
      <x:c r="F24" s="15" t="str">
        <x:v>P0</x:v>
      </x:c>
      <x:c r="G24" s="15" t="str">
        <x:v>Deferred</x:v>
      </x:c>
      <x:c r="H24" s="15" t="str">
        <x:v>6.0</x:v>
      </x:c>
      <x:c r="I24" s="15" t="str">
        <x:v>Qualification</x:v>
      </x:c>
      <x:c r="J24" s="15" t="str">
        <x:v>Software streaming voice engine complete</x:v>
      </x:c>
      <x:c r="K24" s="15" t="str">
        <x:v>No callback I/O, bounded starvation evidence, acceptable audible behavior and sustained xrun envelope</x:v>
      </x:c>
      <x:c r="L24" s="15" t="str">
        <x:v>Long-duration named-hardware soak</x:v>
      </x:c>
      <x:c r="M24" s="15" t="str">
        <x:v>Critical</x:v>
      </x:c>
      <x:c r="N24" s="15" t="str">
        <x:v>docs/current-backlog.md priority 7</x:v>
      </x:c>
      <x:c r="O24" s="15" t="n">
        <x:f>IF(G24="Done",0,IF(F24="P0",400,IF(F24="P23",300,IF(F24="P24",200,100)))+IF(G24="In Progress",60,IF(G24="Ready",50,IF(G24="Backlog",30,IF(G24="Blocked",10,0))))+IF(M24="Critical",20,IF(M24="High",10,0)))</x:f>
        <x:v>420</x:v>
      </x:c>
    </x:row>
    <x:row r="25" ht="26.399999618530273" hidden="0" customHeight="1">
      <x:c r="A25" s="15" t="str">
        <x:v>PLUG-033</x:v>
      </x:c>
      <x:c r="B25" s="15" t="str">
        <x:v>Plugins</x:v>
      </x:c>
      <x:c r="C25" s="15" t="str">
        <x:v>QA</x:v>
      </x:c>
      <x:c r="D25" s="15" t="str">
        <x:v>Real-plugin live-audio qualification</x:v>
      </x:c>
      <x:c r="E25" s="15" t="str">
        <x:v>Exercise isolated plugin lifecycle, delay compensation and recovery with licensed fixtures</x:v>
      </x:c>
      <x:c r="F25" s="15" t="str">
        <x:v>P0</x:v>
      </x:c>
      <x:c r="G25" s="15" t="str">
        <x:v>Blocked</x:v>
      </x:c>
      <x:c r="H25" s="15" t="str">
        <x:v>6.0</x:v>
      </x:c>
      <x:c r="I25" s="15" t="str">
        <x:v>Qualification</x:v>
      </x:c>
      <x:c r="J25" s="15" t="str">
        <x:v>Plugin host lifecycle + delay graph</x:v>
      </x:c>
      <x:c r="K25" s="15" t="str">
        <x:v>Known plugins fail, recover and align within documented timing/latency bounds without unsafe auto-rearm</x:v>
      </x:c>
      <x:c r="L25" s="15" t="str">
        <x:v>Licensed VST3/CLAP/LV2/AU matrix</x:v>
      </x:c>
      <x:c r="M25" s="15" t="str">
        <x:v>Critical</x:v>
      </x:c>
      <x:c r="N25" s="15" t="str">
        <x:v>docs/current-backlog.md priorities 3,7,10</x:v>
      </x:c>
      <x:c r="O25" s="15" t="n">
        <x:f>IF(G25="Done",0,IF(F25="P0",400,IF(F25="P24",300,IF(F25="P25",200,100)))+IF(G25="In Progress",60,IF(G25="Ready",50,IF(G25="Backlog",30,IF(G25="Blocked",10,0))))+IF(M25="Critical",20,IF(M25="High",10,0)))</x:f>
        <x:v>430</x:v>
      </x:c>
    </x:row>
    <x:row r="26" ht="26.399999618530273" hidden="0" customHeight="1">
      <x:c r="A26" s="15" t="str">
        <x:v>UX-033</x:v>
      </x:c>
      <x:c r="B26" s="15" t="str">
        <x:v>Browser UX</x:v>
      </x:c>
      <x:c r="C26" s="15" t="str">
        <x:v>Frontend</x:v>
      </x:c>
      <x:c r="D26" s="15" t="str">
        <x:v>Rendered operator workflow acceptance</x:v>
      </x:c>
      <x:c r="E26" s="15" t="str">
        <x:v>Verify the production operator assets through a real Chromium renderer beyond static DOM and handler contracts</x:v>
      </x:c>
      <x:c r="F26" s="15" t="str">
        <x:v>P1</x:v>
      </x:c>
      <x:c r="G26" s="15" t="str">
        <x:v>Done</x:v>
      </x:c>
      <x:c r="H26" s="15" t="str">
        <x:v>5.3</x:v>
      </x:c>
      <x:c r="I26" s="15" t="str">
        <x:v>Qualification</x:v>
      </x:c>
      <x:c r="J26" s="15" t="str">
        <x:v>Served contract hardened</x:v>
      </x:c>
      <x:c r="K26" s="15" t="str">
        <x:v>Stage launcher, keyboard bypass, player selection and a safe show-state edit render and execute without browser console/page errors</x:v>
      </x:c>
      <x:c r="L26" s="15" t="str">
        <x:v>Real Chromium qualification with production HTML/CSS/JS and real-handler API bridge</x:v>
      </x:c>
      <x:c r="M26" s="15" t="str">
        <x:v>High</x:v>
      </x:c>
      <x:c r="N26" s="15" t="str">
        <x:v>docs/astra-checkpoint-54-validation.md</x:v>
      </x:c>
      <x:c r="O26" s="15" t="n">
        <x:f>IF(G26="Done",0,IF(F26="P0",400,IF(F26="P25",300,IF(F26="P26",200,100)))+IF(G26="In Progress",60,IF(G26="Ready",50,IF(G26="Backlog",30,IF(G26="Blocked",10,0))))+IF(M26="Critical",20,IF(M26="High",10,0)))</x:f>
        <x:v>0</x:v>
      </x:c>
    </x:row>
    <x:row r="27" ht="26.399999618530273" hidden="0" customHeight="1">
      <x:c r="A27" s="15" t="str">
        <x:v>UX-034</x:v>
      </x:c>
      <x:c r="B27" s="15" t="str">
        <x:v>Browser UX</x:v>
      </x:c>
      <x:c r="C27" s="15" t="str">
        <x:v>Frontend</x:v>
      </x:c>
      <x:c r="D27" s="15" t="str">
        <x:v>Responsive visual review</x:v>
      </x:c>
      <x:c r="E27" s="15" t="str">
        <x:v>Qualify layout and interaction across practical desktop/tablet/phone reference widths</x:v>
      </x:c>
      <x:c r="F27" s="15" t="str">
        <x:v>P1</x:v>
      </x:c>
      <x:c r="G27" s="15" t="str">
        <x:v>Done</x:v>
      </x:c>
      <x:c r="H27" s="15" t="str">
        <x:v>5.3</x:v>
      </x:c>
      <x:c r="I27" s="15" t="str">
        <x:v>Qualification</x:v>
      </x:c>
      <x:c r="J27" s="15" t="str">
        <x:v>UX-033</x:v>
      </x:c>
      <x:c r="K27" s="15" t="str">
        <x:v>1440×900, 1024×768, 768×1024 and 390×844 render with zero document-level horizontal overflow and visible stage controls</x:v>
      </x:c>
      <x:c r="L27" s="15" t="str">
        <x:v>Chromium screenshots + automated overflow/visibility checks</x:v>
      </x:c>
      <x:c r="M27" s="15" t="str">
        <x:v>Medium</x:v>
      </x:c>
      <x:c r="N27" s="15" t="str">
        <x:v>docs/astra-checkpoint-54-validation.md</x:v>
      </x:c>
      <x:c r="O27" s="15" t="n">
        <x:f>IF(G27="Done",0,IF(F27="P0",400,IF(F27="P26",300,IF(F27="P27",200,100)))+IF(G27="In Progress",60,IF(G27="Ready",50,IF(G27="Backlog",30,IF(G27="Blocked",10,0))))+IF(M27="Critical",20,IF(M27="High",10,0)))</x:f>
        <x:v>0</x:v>
      </x:c>
    </x:row>
    <x:row r="28" ht="26.399999618530273" hidden="0" customHeight="1">
      <x:c r="A28" s="15" t="str">
        <x:v>UX-035</x:v>
      </x:c>
      <x:c r="B28" s="15" t="str">
        <x:v>Browser UX</x:v>
      </x:c>
      <x:c r="C28" s="15" t="str">
        <x:v>Accessibility</x:v>
      </x:c>
      <x:c r="D28" s="15" t="str">
        <x:v>Assistive-technology exercise</x:v>
      </x:c>
      <x:c r="E28" s="15" t="str">
        <x:v>Exercise the checkpoint-62 browser semantics with actual screen-reader/keyboard operator workflows and decide switch/voice-control scope</x:v>
      </x:c>
      <x:c r="F28" s="15" t="str">
        <x:v>P1</x:v>
      </x:c>
      <x:c r="G28" s="15" t="str">
        <x:v>In Progress</x:v>
      </x:c>
      <x:c r="H28" s="15" t="str">
        <x:v>5.3</x:v>
      </x:c>
      <x:c r="I28" s="15" t="str">
        <x:v>Qualification</x:v>
      </x:c>
      <x:c r="J28" s="15" t="str">
        <x:v>UX-033, UX-034, Checkpoint 62 AX-tree reference</x:v>
      </x:c>
      <x:c r="K28" s="15" t="str">
        <x:v>Stage-critical workflows are operable with keyboard and at least one selected screen-reader stack without status loss; any switch/voice requirements are explicitly accepted or deferred</x:v>
      </x:c>
      <x:c r="L28" s="15" t="str">
        <x:v>NVDA/VoiceOver or equivalent AT exercise with issue log and operator workflow evidence</x:v>
      </x:c>
      <x:c r="M28" s="15" t="str">
        <x:v>High</x:v>
      </x:c>
      <x:c r="N28" s="15" t="str">
        <x:v>docs/current-backlog.md priority 8</x:v>
      </x:c>
      <x:c r="O28" s="15" t="n">
        <x:f>IF(G28="Done",0,IF(F28="P0",400,IF(F28="P27",300,IF(F28="P28",200,100)))+IF(G28="In Progress",60,IF(G28="Ready",50,IF(G28="Backlog",30,IF(G28="Blocked",10,0))))+IF(M28="Critical",20,IF(M28="High",10,0)))</x:f>
        <x:v>170</x:v>
      </x:c>
    </x:row>
    <x:row r="29" ht="26.399999618530273" hidden="0" customHeight="1">
      <x:c r="A29" s="15" t="str">
        <x:v>PKG-033</x:v>
      </x:c>
      <x:c r="B29" s="15" t="str">
        <x:v>Packaging</x:v>
      </x:c>
      <x:c r="C29" s="15" t="str">
        <x:v>Linux</x:v>
      </x:c>
      <x:c r="D29" s="15" t="str">
        <x:v>Clean-host install / upgrade / uninstall exercise</x:v>
      </x:c>
      <x:c r="E29" s="15" t="str">
        <x:v>Move checkpoint-61 isolated-rootfs reference evidence onto a genuinely clean Linux host/VM and boot the packaged services</x:v>
      </x:c>
      <x:c r="F29" s="15" t="str">
        <x:v>P0</x:v>
      </x:c>
      <x:c r="G29" s="15" t="str">
        <x:v>In Progress</x:v>
      </x:c>
      <x:c r="H29" s="15" t="str">
        <x:v>5.3</x:v>
      </x:c>
      <x:c r="I29" s="15" t="str">
        <x:v>Qualification</x:v>
      </x:c>
      <x:c r="J29" s="15" t="str">
        <x:v>Checkpoint 61 isolated-rootfs qualifier</x:v>
      </x:c>
      <x:c r="K29" s="15" t="str">
        <x:v>Fresh host install, reinstall, state preservation, service startup/health, uninstall and purge match the documented contract without hidden source-tree dependencies</x:v>
      </x:c>
      <x:c r="L29" s="15" t="str">
        <x:v>Clean VM/host exercise using the installed package qualifier plus actual service boot</x:v>
      </x:c>
      <x:c r="M29" s="15" t="str">
        <x:v>Critical</x:v>
      </x:c>
      <x:c r="N29" s="15" t="str">
        <x:v>docs/current-backlog.md priority 9</x:v>
      </x:c>
      <x:c r="O29" s="15" t="n">
        <x:f>IF(G29="Done",0,IF(F29="P0",400,IF(F29="P28",300,IF(F29="P29",200,100)))+IF(G29="In Progress",60,IF(G29="Ready",50,IF(G29="Backlog",30,IF(G29="Blocked",10,0))))+IF(M29="Critical",20,IF(M29="High",10,0)))</x:f>
        <x:v>480</x:v>
      </x:c>
    </x:row>
    <x:row r="30" ht="26.399999618530273" hidden="0" customHeight="1">
      <x:c r="A30" s="15" t="str">
        <x:v>PKG-034</x:v>
      </x:c>
      <x:c r="B30" s="15" t="str">
        <x:v>Packaging</x:v>
      </x:c>
      <x:c r="C30" s="15" t="str">
        <x:v>Linux</x:v>
      </x:c>
      <x:c r="D30" s="15" t="str">
        <x:v>Service permission + hardware namespace qualification</x:v>
      </x:c>
      <x:c r="E30" s="15" t="str">
        <x:v>Run the checkpoint-68 installed service-identity permission verifier against the exact ALSA/MIDI/UWB nodes on a clean deployment host</x:v>
      </x:c>
      <x:c r="F30" s="15" t="str">
        <x:v>P0</x:v>
      </x:c>
      <x:c r="G30" s="15" t="str">
        <x:v>In Progress</x:v>
      </x:c>
      <x:c r="H30" s="15" t="str">
        <x:v>5.3</x:v>
      </x:c>
      <x:c r="I30" s="15" t="str">
        <x:v>Qualification</x:v>
      </x:c>
      <x:c r="J30" s="15" t="str">
        <x:v>PKG-033, Checkpoint 68 device-permission verifier</x:v>
      </x:c>
      <x:c r="K30" s="15" t="str">
        <x:v>The stagemesh service identity has only the documented read/write access to required character-device nodes; symlink/non-device paths fail closed and no installer step broadens host permissions automatically</x:v>
      </x:c>
      <x:c r="L30" s="15" t="str">
        <x:v>Clean-host run as stagemesh using stagemesh-device-permissions.py plus service/udev/group evidence</x:v>
      </x:c>
      <x:c r="M30" s="15" t="str">
        <x:v>Critical</x:v>
      </x:c>
      <x:c r="N30" s="15" t="str">
        <x:v>docs/astra-checkpoint-68-validation.md</x:v>
      </x:c>
      <x:c r="O30" s="15" t="n">
        <x:f>IF(G30="Done",0,IF(F30="P0",400,IF(F30="P29",300,IF(F30="P30",200,100)))+IF(G30="In Progress",60,IF(G30="Ready",50,IF(G30="Backlog",30,IF(G30="Blocked",10,0))))+IF(M30="Critical",20,IF(M30="High",10,0)))</x:f>
        <x:v>480</x:v>
      </x:c>
    </x:row>
    <x:row r="31" ht="26.399999618530273" hidden="0" customHeight="1">
      <x:c r="A31" s="15" t="str">
        <x:v>LEGAL-001</x:v>
      </x:c>
      <x:c r="B31" s="15" t="str">
        <x:v>Release</x:v>
      </x:c>
      <x:c r="C31" s="15" t="str">
        <x:v>Governance</x:v>
      </x:c>
      <x:c r="D31" s="15" t="str">
        <x:v>Choose and publish project license</x:v>
      </x:c>
      <x:c r="E31" s="15" t="str">
        <x:v>Remove the explicit release blocker around redistribution terms</x:v>
      </x:c>
      <x:c r="F31" s="15" t="str">
        <x:v>P0</x:v>
      </x:c>
      <x:c r="G31" s="15" t="str">
        <x:v>Blocked</x:v>
      </x:c>
      <x:c r="H31" s="15" t="str">
        <x:v>5.3</x:v>
      </x:c>
      <x:c r="I31" s="15" t="str">
        <x:v>Decision</x:v>
      </x:c>
      <x:c r="J31" s="15" t="str">
        <x:v>Owner decision</x:v>
      </x:c>
      <x:c r="K31" s="15" t="str">
        <x:v>Repository and packaged notices state one approved license consistently</x:v>
      </x:c>
      <x:c r="L31" s="15" t="str">
        <x:v>Owner approval + release-check validation</x:v>
      </x:c>
      <x:c r="M31" s="15" t="str">
        <x:v>Critical</x:v>
      </x:c>
      <x:c r="N31" s="15" t="str">
        <x:v>docs/current-backlog.md priority 9</x:v>
      </x:c>
      <x:c r="O31" s="15" t="n">
        <x:f>IF(G31="Done",0,IF(F31="P0",400,IF(F31="P30",300,IF(F31="P31",200,100)))+IF(G31="In Progress",60,IF(G31="Ready",50,IF(G31="Backlog",30,IF(G31="Blocked",10,0))))+IF(M31="Critical",20,IF(M31="High",10,0)))</x:f>
        <x:v>430</x:v>
      </x:c>
    </x:row>
    <x:row r="32" ht="115" hidden="0" customHeight="1">
      <x:c r="A32" s="15" t="str">
        <x:v>PLUG-034</x:v>
      </x:c>
      <x:c r="B32" s="15" t="str">
        <x:v>Plugins</x:v>
      </x:c>
      <x:c r="C32" s="15" t="str">
        <x:v>Security</x:v>
      </x:c>
      <x:c r="D32" s="15" t="str">
        <x:v>Windows/macOS native plugin verification-to-launch binder</x:v>
      </x:c>
      <x:c r="E32" s="15" t="str">
        <x:v>Bind verified executable identity to process launch on Windows and macOS without a path-digest fallback</x:v>
      </x:c>
      <x:c r="F32" s="15" t="str">
        <x:v>P0</x:v>
      </x:c>
      <x:c r="G32" s="15" t="str">
        <x:v>Done</x:v>
      </x:c>
      <x:c r="H32" s="15" t="str">
        <x:v>5.5</x:v>
      </x:c>
      <x:c r="I32" s="15" t="str">
        <x:v>Software</x:v>
      </x:c>
      <x:c r="J32" s="15" t="str">
        <x:v>Checkpoint 73 hosted Windows/macOS native-launch evidence</x:v>
      </x:c>
      <x:c r="K32" s="15" t="str">
        <x:v>Windows holds the verified executable against replacement through SHA-256 + Authenticode + file-identity launch; macOS launches a private exact-byte staged copy verified by codesign/CDHash and enforces configured signing identity requirements; no path-only fallback</x:v>
      </x:c>
      <x:c r="L32" s="15" t="str">
        <x:v>Hosted Windows/macOS native-launch smoke with signed OS fixtures passed. macOS system fixture had no Team ID, so Team-ID matching was not exercised. Licensed product matrix remains PLUG-035/036.</x:v>
      </x:c>
      <x:c r="M32" s="15" t="str">
        <x:v>Critical</x:v>
      </x:c>
      <x:c r="N32" s="15" t="str">
        <x:v>GitHub main f18b0da1a5ce429dc42bed759ce4154668f021c7</x:v>
      </x:c>
      <x:c r="O32" s="15" t="n">
        <x:f>IF(G32="Done",0,IF(F32="P0",400,IF(F32="P1",300,IF(F32="P2",200,100)))+IF(G32="In Progress",60,IF(G32="Ready",50,IF(G32="Backlog",30,IF(G32="Blocked",10,0))))+IF(M32="Critical",20,IF(M32="High",10,0)))</x:f>
        <x:v>0</x:v>
      </x:c>
    </x:row>
    <x:row r="33" ht="26.399999618530273" hidden="0" customHeight="1">
      <x:c r="A33" s="15" t="str">
        <x:v>PLUG-035</x:v>
      </x:c>
      <x:c r="B33" s="15" t="str">
        <x:v>Plugins</x:v>
      </x:c>
      <x:c r="C33" s="15" t="str">
        <x:v>Platform</x:v>
      </x:c>
      <x:c r="D33" s="15" t="str">
        <x:v>Windows real adapter runs</x:v>
      </x:c>
      <x:c r="E33" s="15" t="str">
        <x:v>Prove supported plugin formats and host isolation on Windows</x:v>
      </x:c>
      <x:c r="F33" s="15" t="str">
        <x:v>P0</x:v>
      </x:c>
      <x:c r="G33" s="15" t="str">
        <x:v>Blocked</x:v>
      </x:c>
      <x:c r="H33" s="15" t="str">
        <x:v>5.5</x:v>
      </x:c>
      <x:c r="I33" s="15" t="str">
        <x:v>Qualification</x:v>
      </x:c>
      <x:c r="J33" s="15" t="str">
        <x:v>PLUG-034</x:v>
      </x:c>
      <x:c r="K33" s="15" t="str">
        <x:v>Selected real plugins pass load/control/audio/restart/failure matrix on Windows</x:v>
      </x:c>
      <x:c r="L33" s="15" t="str">
        <x:v>Licensed Windows plugin matrix</x:v>
      </x:c>
      <x:c r="M33" s="15" t="str">
        <x:v>Critical</x:v>
      </x:c>
      <x:c r="N33" s="15" t="str">
        <x:v>docs/current-backlog.md priority 10</x:v>
      </x:c>
      <x:c r="O33" s="15" t="n">
        <x:f>IF(G33="Done",0,IF(F33="P0",400,IF(F33="P32",300,IF(F33="P33",200,100)))+IF(G33="In Progress",60,IF(G33="Ready",50,IF(G33="Backlog",30,IF(G33="Blocked",10,0))))+IF(M33="Critical",20,IF(M33="High",10,0)))</x:f>
        <x:v>430</x:v>
      </x:c>
    </x:row>
    <x:row r="34" ht="26.399999618530273" hidden="0" customHeight="1">
      <x:c r="A34" s="15" t="str">
        <x:v>PLUG-036</x:v>
      </x:c>
      <x:c r="B34" s="15" t="str">
        <x:v>Plugins</x:v>
      </x:c>
      <x:c r="C34" s="15" t="str">
        <x:v>Platform</x:v>
      </x:c>
      <x:c r="D34" s="15" t="str">
        <x:v>macOS real adapter runs</x:v>
      </x:c>
      <x:c r="E34" s="15" t="str">
        <x:v>Prove supported plugin formats and host isolation on macOS</x:v>
      </x:c>
      <x:c r="F34" s="15" t="str">
        <x:v>P0</x:v>
      </x:c>
      <x:c r="G34" s="15" t="str">
        <x:v>Blocked</x:v>
      </x:c>
      <x:c r="H34" s="15" t="str">
        <x:v>5.5</x:v>
      </x:c>
      <x:c r="I34" s="15" t="str">
        <x:v>Qualification</x:v>
      </x:c>
      <x:c r="J34" s="15" t="str">
        <x:v>PLUG-034</x:v>
      </x:c>
      <x:c r="K34" s="15" t="str">
        <x:v>Selected real plugins pass load/control/audio/restart/failure matrix on macOS</x:v>
      </x:c>
      <x:c r="L34" s="15" t="str">
        <x:v>Licensed macOS plugin matrix</x:v>
      </x:c>
      <x:c r="M34" s="15" t="str">
        <x:v>Critical</x:v>
      </x:c>
      <x:c r="N34" s="15" t="str">
        <x:v>docs/current-backlog.md priority 10</x:v>
      </x:c>
      <x:c r="O34" s="15" t="n">
        <x:f>IF(G34="Done",0,IF(F34="P0",400,IF(F34="P33",300,IF(F34="P34",200,100)))+IF(G34="In Progress",60,IF(G34="Ready",50,IF(G34="Backlog",30,IF(G34="Blocked",10,0))))+IF(M34="Critical",20,IF(M34="High",10,0)))</x:f>
        <x:v>430</x:v>
      </x:c>
    </x:row>
    <x:row r="35" ht="26.399999618530273" hidden="0" customHeight="1">
      <x:c r="A35" s="15" t="str">
        <x:v>PLUG-037</x:v>
      </x:c>
      <x:c r="B35" s="15" t="str">
        <x:v>Plugins</x:v>
      </x:c>
      <x:c r="C35" s="15" t="str">
        <x:v>QA</x:v>
      </x:c>
      <x:c r="D35" s="15" t="str">
        <x:v>Licensed plugin fixture set</x:v>
      </x:c>
      <x:c r="E35" s="15" t="str">
        <x:v>Create a legally usable conformance/compatibility fixture inventory</x:v>
      </x:c>
      <x:c r="F35" s="15" t="str">
        <x:v>P0</x:v>
      </x:c>
      <x:c r="G35" s="15" t="str">
        <x:v>Blocked</x:v>
      </x:c>
      <x:c r="H35" s="15" t="str">
        <x:v>5.5</x:v>
      </x:c>
      <x:c r="I35" s="15" t="str">
        <x:v>Decision</x:v>
      </x:c>
      <x:c r="J35" s="15" t="str">
        <x:v>LEGAL-001</x:v>
      </x:c>
      <x:c r="K35" s="15" t="str">
        <x:v>Fixture licenses permit automated qualification and redistribution rules are documented</x:v>
      </x:c>
      <x:c r="L35" s="15" t="str">
        <x:v>Fixture inventory review</x:v>
      </x:c>
      <x:c r="M35" s="15" t="str">
        <x:v>High</x:v>
      </x:c>
      <x:c r="N35" s="15" t="str">
        <x:v>docs/current-backlog.md priority 10</x:v>
      </x:c>
      <x:c r="O35" s="15" t="n">
        <x:f>IF(G35="Done",0,IF(F35="P0",400,IF(F35="P34",300,IF(F35="P35",200,100)))+IF(G35="In Progress",60,IF(G35="Ready",50,IF(G35="Backlog",30,IF(G35="Blocked",10,0))))+IF(M35="Critical",20,IF(M35="High",10,0)))</x:f>
        <x:v>420</x:v>
      </x:c>
    </x:row>
    <x:row r="36" ht="26.399999618530273" hidden="0" customHeight="1">
      <x:c r="A36" s="15" t="str">
        <x:v>PLUG-038</x:v>
      </x:c>
      <x:c r="B36" s="15" t="str">
        <x:v>Plugins</x:v>
      </x:c>
      <x:c r="C36" s="15" t="str">
        <x:v>QA</x:v>
      </x:c>
      <x:c r="D36" s="15" t="str">
        <x:v>Real product compatibility matrix</x:v>
      </x:c>
      <x:c r="E36" s="15" t="str">
        <x:v>Publish evidence-backed compatibility instead of generic format claims</x:v>
      </x:c>
      <x:c r="F36" s="15" t="str">
        <x:v>P1</x:v>
      </x:c>
      <x:c r="G36" s="15" t="str">
        <x:v>Blocked</x:v>
      </x:c>
      <x:c r="H36" s="15" t="str">
        <x:v>6.0</x:v>
      </x:c>
      <x:c r="I36" s="15" t="str">
        <x:v>Qualification</x:v>
      </x:c>
      <x:c r="J36" s="15" t="str">
        <x:v>PLUG-035, PLUG-036, PLUG-037</x:v>
      </x:c>
      <x:c r="K36" s="15" t="str">
        <x:v>Matrix records exact product/version/OS/arch/results and separates tested from untested</x:v>
      </x:c>
      <x:c r="L36" s="15" t="str">
        <x:v>Repeatable compatibility runs</x:v>
      </x:c>
      <x:c r="M36" s="15" t="str">
        <x:v>High</x:v>
      </x:c>
      <x:c r="N36" s="15" t="str">
        <x:v>docs/current-backlog.md priority 10</x:v>
      </x:c>
      <x:c r="O36" s="15" t="n">
        <x:f>IF(G36="Done",0,IF(F36="P0",400,IF(F36="P35",300,IF(F36="P36",200,100)))+IF(G36="In Progress",60,IF(G36="Ready",50,IF(G36="Backlog",30,IF(G36="Blocked",10,0))))+IF(M36="Critical",20,IF(M36="High",10,0)))</x:f>
        <x:v>120</x:v>
      </x:c>
    </x:row>
    <x:row r="37" ht="26.399999618530273" hidden="0" customHeight="1">
      <x:c r="A37" s="15" t="str">
        <x:v>IPC-033</x:v>
      </x:c>
      <x:c r="B37" s="15" t="str">
        <x:v>Local IPC</x:v>
      </x:c>
      <x:c r="C37" s="15" t="str">
        <x:v>Platform</x:v>
      </x:c>
      <x:c r="D37" s="15" t="str">
        <x:v>Windows UPPF named-pipe DACL + SCM lifecycle</x:v>
      </x:c>
      <x:c r="E37" s="15" t="str">
        <x:v>Provide protected explicit-SID named-pipe transport with live DACL attestation, unauthorized-client denial and bounded production-style SCM lifecycle</x:v>
      </x:c>
      <x:c r="F37" s="15" t="str">
        <x:v>P0</x:v>
      </x:c>
      <x:c r="G37" s="15" t="str">
        <x:v>Done</x:v>
      </x:c>
      <x:c r="H37" s="15" t="str">
        <x:v>5.5</x:v>
      </x:c>
      <x:c r="I37" s="15" t="str">
        <x:v>Software</x:v>
      </x:c>
      <x:c r="J37" s="15" t="str">
        <x:v>Checkpoint 72 hosted Windows evidence</x:v>
      </x:c>
      <x:c r="K37" s="15" t="str">
        <x:v>Protected DACL exactly matches configured principals; authorized authenticated UPPF succeeds; excluded client is denied; LocalSystem service stops/restarts both after traffic and while idle in pending accept without stale handles</x:v>
      </x:c>
      <x:c r="L37" s="15" t="str">
        <x:v>GitHub Windows Server 2025 hosted kernel/SCM evidence, including idle STOP 0.266s and post-restart authenticated roundtrip</x:v>
      </x:c>
      <x:c r="M37" s="15" t="str">
        <x:v>Critical</x:v>
      </x:c>
      <x:c r="N37" s="15" t="str">
        <x:v>GitHub main 520a7648fb48a83ca479441b3e4febc3a662115a</x:v>
      </x:c>
      <x:c r="O37" s="15" t="n">
        <x:f>IF(G37="Done",0,IF(F37="P0",400,IF(F37="P1",300,IF(F37="P2",200,100)))+IF(G37="In Progress",60,IF(G37="Ready",50,IF(G37="Backlog",30,IF(G37="Blocked",10,0))))+IF(M37="Critical",20,IF(M37="High",10,0)))</x:f>
        <x:v>0</x:v>
      </x:c>
    </x:row>
    <x:row r="38" ht="26.399999618530273" hidden="0" customHeight="1">
      <x:c r="A38" s="15" t="str">
        <x:v>LIGHT-033</x:v>
      </x:c>
      <x:c r="B38" s="15" t="str">
        <x:v>Lighting</x:v>
      </x:c>
      <x:c r="C38" s="15" t="str">
        <x:v>Native / Venue</x:v>
      </x:c>
      <x:c r="D38" s="15" t="str">
        <x:v>sACN + semantic fixture/venue-patch mapping</x:v>
      </x:c>
      <x:c r="E38" s="15" t="str">
        <x:v>Move portable lighting intent above raw universe/channel execution while preserving explicit physical-output authority</x:v>
      </x:c>
      <x:c r="F38" s="15" t="str">
        <x:v>P1</x:v>
      </x:c>
      <x:c r="G38" s="15" t="str">
        <x:v>Done</x:v>
      </x:c>
      <x:c r="H38" s="15" t="str">
        <x:v>5.5</x:v>
      </x:c>
      <x:c r="I38" s="15" t="str">
        <x:v>Software</x:v>
      </x:c>
      <x:c r="J38" s="15" t="str">
        <x:v>Existing lighting scheduler + venue patch</x:v>
      </x:c>
      <x:c r="K38" s="15" t="str">
        <x:v>Explicitly armed unicast Art-Net/sACN execution is protocol-selectable; committed venue fixtures resolve semantic parameters deterministically to bounded DMX coordinates</x:v>
      </x:c>
      <x:c r="L38" s="15" t="str">
        <x:v>533-test release suite; 2/2 RT CTest; E1.31 packet/arm vectors; committed venue semantic API integration; 118 schemas/OpenAPI; 7 JS checks</x:v>
      </x:c>
      <x:c r="M38" s="15" t="str">
        <x:v>High</x:v>
      </x:c>
      <x:c r="N38" s="15" t="str">
        <x:v>docs/astra-checkpoint-44-validation.md</x:v>
      </x:c>
      <x:c r="O38" s="15" t="n">
        <x:f>IF(G38="Done",0,IF(F38="P0",400,IF(F38="P37",300,IF(F38="P38",200,100)))+IF(G38="In Progress",60,IF(G38="Ready",50,IF(G38="Backlog",30,IF(G38="Blocked",10,0))))+IF(M38="Critical",20,IF(M38="High",10,0)))</x:f>
        <x:v>0</x:v>
      </x:c>
    </x:row>
    <x:row r="39" ht="26.399999618530273" hidden="0" customHeight="1">
      <x:c r="A39" s="15" t="str">
        <x:v>AUTH-040</x:v>
      </x:c>
      <x:c r="B39" s="15" t="str">
        <x:v>Authority</x:v>
      </x:c>
      <x:c r="C39" s="15" t="str">
        <x:v>Core / Backend</x:v>
      </x:c>
      <x:c r="D39" s="15" t="str">
        <x:v>Department/resource authority leases</x:v>
      </x:c>
      <x:c r="E39" s="15" t="str">
        <x:v>Generalize explicit temporary authority beyond current venue-patch scopes without weakening cluster or API authorization</x:v>
      </x:c>
      <x:c r="F39" s="15" t="str">
        <x:v>P1</x:v>
      </x:c>
      <x:c r="G39" s="15" t="str">
        <x:v>Done</x:v>
      </x:c>
      <x:c r="H39" s="15" t="str">
        <x:v>5.4</x:v>
      </x:c>
      <x:c r="I39" s="15" t="str">
        <x:v>Software</x:v>
      </x:c>
      <x:c r="J39" s="15" t="str">
        <x:v>Venue authority lease foundation</x:v>
      </x:c>
      <x:c r="K39" s="15" t="str">
        <x:v>Typed patch/department/resource scopes, exact-resource precedence, venue/runtime lifecycle separation, expiry/audit and fail-closed authority-loss cleanup are explicit</x:v>
      </x:c>
      <x:c r="L39" s="15" t="str">
        <x:v>540-test release suite; 15 focused authority/reconciliation tests; 2/2 RT CTest; 118 schemas/OpenAPI; 7 JS syntax checks</x:v>
      </x:c>
      <x:c r="M39" s="15" t="str">
        <x:v>High</x:v>
      </x:c>
      <x:c r="N39" s="15" t="str">
        <x:v>docs/astra-checkpoint-45-validation.md</x:v>
      </x:c>
      <x:c r="O39" s="15" t="n">
        <x:f>IF(G39="Done",0,IF(F39="P0",400,IF(F39="P38",300,IF(F39="P39",200,100)))+IF(G39="In Progress",60,IF(G39="Ready",50,IF(G39="Backlog",30,IF(G39="Blocked",10,0))))+IF(M39="Critical",20,IF(M39="High",10,0)))</x:f>
        <x:v>0</x:v>
      </x:c>
    </x:row>
    <x:row r="40" ht="26.399999618530273" hidden="0" customHeight="1">
      <x:c r="A40" s="15" t="str">
        <x:v>REC-035</x:v>
      </x:c>
      <x:c r="B40" s="15" t="str">
        <x:v>Public Record</x:v>
      </x:c>
      <x:c r="C40" s="15" t="str">
        <x:v>Backend</x:v>
      </x:c>
      <x:c r="D40" s="15" t="str">
        <x:v>Signed adaptation receipts + externally witnessed Public Record</x:v>
      </x:c>
      <x:c r="E40" s="15" t="str">
        <x:v>Make adaptation and operational-authority evidence tamper-evident and independently witnessable outside private show state</x:v>
      </x:c>
      <x:c r="F40" s="15" t="str">
        <x:v>P1</x:v>
      </x:c>
      <x:c r="G40" s="15" t="str">
        <x:v>Done</x:v>
      </x:c>
      <x:c r="H40" s="15" t="str">
        <x:v>5.4</x:v>
      </x:c>
      <x:c r="I40" s="15" t="str">
        <x:v>Software</x:v>
      </x:c>
      <x:c r="J40" s="15" t="str">
        <x:v>AUTH-040</x:v>
      </x:c>
      <x:c r="K40" s="15" t="str">
        <x:v>Append-only signed records carry stable receipt references; separately authenticated external witnesses attest exact record hashes with explicit quorum coverage</x:v>
      </x:c>
      <x:c r="L40" s="15" t="str">
        <x:v>545-test release suite; tamper/witness/receipt regressions; 2/2 RT CTest; 120 schemas/OpenAPI; 7 JS syntax checks</x:v>
      </x:c>
      <x:c r="M40" s="15" t="str">
        <x:v>High</x:v>
      </x:c>
      <x:c r="N40" s="15" t="str">
        <x:v>docs/astra-checkpoint-46-validation.md</x:v>
      </x:c>
      <x:c r="O40" s="15" t="n">
        <x:f>IF(G40="Done",0,IF(F40="P0",400,IF(F40="P39",300,IF(F40="P40",200,100)))+IF(G40="In Progress",60,IF(G40="Ready",50,IF(G40="Backlog",30,IF(G40="Blocked",10,0))))+IF(M40="Critical",20,IF(M40="High",10,0)))</x:f>
        <x:v>0</x:v>
      </x:c>
    </x:row>
    <x:row r="41" ht="26.399999618530273" hidden="0" customHeight="1">
      <x:c r="A41" s="15" t="str">
        <x:v>GOV-033</x:v>
      </x:c>
      <x:c r="B41" s="15" t="str">
        <x:v>Governance</x:v>
      </x:c>
      <x:c r="C41" s="15" t="str">
        <x:v>Backend</x:v>
      </x:c>
      <x:c r="D41" s="15" t="str">
        <x:v>Bind technology maturity evidence to signed conformance receipts</x:v>
      </x:c>
      <x:c r="E41" s="15" t="str">
        <x:v>Replace self-declared interoperability maturity evidence with verifiable signed Public Record receipts</x:v>
      </x:c>
      <x:c r="F41" s="15" t="str">
        <x:v>P2</x:v>
      </x:c>
      <x:c r="G41" s="15" t="str">
        <x:v>Done</x:v>
      </x:c>
      <x:c r="H41" s="15" t="str">
        <x:v>6.x</x:v>
      </x:c>
      <x:c r="I41" s="15" t="str">
        <x:v>Software</x:v>
      </x:c>
      <x:c r="J41" s="15" t="str">
        <x:v>REC-035</x:v>
      </x:c>
      <x:c r="K41" s="15" t="str">
        <x:v>Standard recognition requires an exact verified evidence digest; stale/fake receipts fail and Core elevation requires current-scale eligibility</x:v>
      </x:c>
      <x:c r="L41" s="15" t="str">
        <x:v>548-test release suite; receipt/tamper/stale/current-scale regressions; 2/2 RT CTest; 121 schemas/OpenAPI; 7 JS checks</x:v>
      </x:c>
      <x:c r="M41" s="15" t="str">
        <x:v>Medium</x:v>
      </x:c>
      <x:c r="N41" s="15" t="str">
        <x:v>docs/astra-checkpoint-47-validation.md</x:v>
      </x:c>
      <x:c r="O41" s="15" t="n">
        <x:f>IF(G41="Done",0,IF(F41="P0",400,IF(F41="P40",300,IF(F41="P41",200,100)))+IF(G41="In Progress",60,IF(G41="Ready",50,IF(G41="Backlog",30,IF(G41="Blocked",10,0))))+IF(M41="Critical",20,IF(M41="High",10,0)))</x:f>
        <x:v>0</x:v>
      </x:c>
    </x:row>
    <x:row r="42" ht="26.399999618530273" hidden="0" customHeight="1">
      <x:c r="A42" s="15" t="str">
        <x:v>GOV-034</x:v>
      </x:c>
      <x:c r="B42" s="15" t="str">
        <x:v>Governance</x:v>
      </x:c>
      <x:c r="C42" s="15" t="str">
        <x:v>Backend</x:v>
      </x:c>
      <x:c r="D42" s="15" t="str">
        <x:v>Bind community governance events to Public Record</x:v>
      </x:c>
      <x:c r="E42" s="15" t="str">
        <x:v>Make proposal/version/invitation/ballot/ratification history independently auditable without exposing voter identity or individual choice</x:v>
      </x:c>
      <x:c r="F42" s="15" t="str">
        <x:v>P2</x:v>
      </x:c>
      <x:c r="G42" s="15" t="str">
        <x:v>Done</x:v>
      </x:c>
      <x:c r="H42" s="15" t="str">
        <x:v>6.x</x:v>
      </x:c>
      <x:c r="I42" s="15" t="str">
        <x:v>Software</x:v>
      </x:c>
      <x:c r="J42" s="15" t="str">
        <x:v>REC-035</x:v>
      </x:c>
      <x:c r="K42" s="15" t="str">
        <x:v>Current proposal versions, invitation windows and opaque ballot commitments enter the signed Public Record; adoption exposes only aggregates and exact evidence references; missing evidence blocks binding until reconciliation</x:v>
      </x:c>
      <x:c r="L42" s="15" t="str">
        <x:v>559-test release suite; 18 focused governance tests; 2/2 RT CTest; 124 schemas/OpenAPI; 7 JS syntax checks</x:v>
      </x:c>
      <x:c r="M42" s="15" t="str">
        <x:v>Medium</x:v>
      </x:c>
      <x:c r="N42" s="15" t="str">
        <x:v>docs/astra-checkpoint-49-validation.md</x:v>
      </x:c>
      <x:c r="O42" s="15" t="n">
        <x:f>IF(G42="Done",0,IF(F42="P0",400,IF(F42="P41",300,IF(F42="P42",200,100)))+IF(G42="In Progress",60,IF(G42="Ready",50,IF(G42="Backlog",30,IF(G42="Blocked",10,0))))+IF(M42="Critical",20,IF(M42="High",10,0)))</x:f>
        <x:v>0</x:v>
      </x:c>
    </x:row>
    <x:row r="43" ht="26.399999618530273" hidden="0" customHeight="1">
      <x:c r="A43" s="15" t="str">
        <x:v>AUTH-041</x:v>
      </x:c>
      <x:c r="B43" s="15" t="str">
        <x:v>Identity</x:v>
      </x:c>
      <x:c r="C43" s="15" t="str">
        <x:v>Backend</x:v>
      </x:c>
      <x:c r="D43" s="15" t="str">
        <x:v>Real account-auth adapter for community voting</x:v>
      </x:c>
      <x:c r="E43" s="15" t="str">
        <x:v>Replace production dependence on forwarded email magic-link credentials with bounded sessions minted from the trusted authentication-proxy identity</x:v>
      </x:c>
      <x:c r="F43" s="15" t="str">
        <x:v>P1</x:v>
      </x:c>
      <x:c r="G43" s="15" t="str">
        <x:v>Done</x:v>
      </x:c>
      <x:c r="H43" s="15" t="str">
        <x:v>5.5</x:v>
      </x:c>
      <x:c r="I43" s="15" t="str">
        <x:v>Software</x:v>
      </x:c>
      <x:c r="J43" s="15" t="str">
        <x:v>GOV-034</x:v>
      </x:c>
      <x:c r="K43" s="15" t="str">
        <x:v>Active community accounts receive short-lived signed sessions bound to persisted auth generation; revoked/stale sessions fail before mutation and session voting still requires exactly one active current-version invitation</x:v>
      </x:c>
      <x:c r="L43" s="15" t="str">
        <x:v>566-test release suite; trusted-proxy HTTP session issue/vote/revoke regression; 2/2 RT CTest; 125 schemas/OpenAPI; 7 JS syntax checks</x:v>
      </x:c>
      <x:c r="M43" s="15" t="str">
        <x:v>High</x:v>
      </x:c>
      <x:c r="N43" s="15" t="str">
        <x:v>docs/astra-checkpoint-50-validation.md</x:v>
      </x:c>
      <x:c r="O43" s="15" t="n">
        <x:f>IF(G43="Done",0,IF(F43="P0",400,IF(F43="P42",300,IF(F43="P43",200,100)))+IF(G43="In Progress",60,IF(G43="Ready",50,IF(G43="Backlog",30,IF(G43="Blocked",10,0))))+IF(M43="Critical",20,IF(M43="High",10,0)))</x:f>
        <x:v>0</x:v>
      </x:c>
    </x:row>
    <x:row r="44" ht="26.399999618530273" hidden="0" customHeight="1">
      <x:c r="A44" s="15" t="str">
        <x:v>HW-033</x:v>
      </x:c>
      <x:c r="B44" s="15" t="str">
        <x:v>Stage Qualification</x:v>
      </x:c>
      <x:c r="C44" s="15" t="str">
        <x:v>Audio</x:v>
      </x:c>
      <x:c r="D44" s="15" t="str">
        <x:v>Audio latency/dropout/soak qualification</x:v>
      </x:c>
      <x:c r="E44" s="15" t="str">
        <x:v>Establish stage-qualified latency/xrun/soak envelope on named hardware</x:v>
      </x:c>
      <x:c r="F44" s="15" t="str">
        <x:v>P0</x:v>
      </x:c>
      <x:c r="G44" s="15" t="str">
        <x:v>Deferred</x:v>
      </x:c>
      <x:c r="H44" s="15" t="str">
        <x:v>6.0</x:v>
      </x:c>
      <x:c r="I44" s="15" t="str">
        <x:v>Qualification</x:v>
      </x:c>
      <x:c r="J44" s="15" t="str">
        <x:v>AUD-033, AUD-034</x:v>
      </x:c>
      <x:c r="K44" s="15" t="str">
        <x:v>Published named-hardware limits include p95/p99 callback timing, xruns and sustained runtime</x:v>
      </x:c>
      <x:c r="L44" s="15" t="str">
        <x:v>Qualification harness</x:v>
      </x:c>
      <x:c r="M44" s="15" t="str">
        <x:v>Critical</x:v>
      </x:c>
      <x:c r="N44" s="15" t="str">
        <x:v>docs/current-backlog.md deferred equipment</x:v>
      </x:c>
      <x:c r="O44" s="15" t="n">
        <x:f>IF(G44="Done",0,IF(F44="P0",400,IF(F44="P43",300,IF(F44="P44",200,100)))+IF(G44="In Progress",60,IF(G44="Ready",50,IF(G44="Backlog",30,IF(G44="Blocked",10,0))))+IF(M44="Critical",20,IF(M44="High",10,0)))</x:f>
        <x:v>420</x:v>
      </x:c>
    </x:row>
    <x:row r="45" ht="26.399999618530273" hidden="0" customHeight="1">
      <x:c r="A45" s="15" t="str">
        <x:v>HW-034</x:v>
      </x:c>
      <x:c r="B45" s="15" t="str">
        <x:v>Stage Qualification</x:v>
      </x:c>
      <x:c r="C45" s="15" t="str">
        <x:v>Recording</x:v>
      </x:c>
      <x:c r="D45" s="15" t="str">
        <x:v>Physical recording + audible loop correctness</x:v>
      </x:c>
      <x:c r="E45" s="15" t="str">
        <x:v>Validate live capture, publication and loop playback acoustically/physically</x:v>
      </x:c>
      <x:c r="F45" s="15" t="str">
        <x:v>P0</x:v>
      </x:c>
      <x:c r="G45" s="15" t="str">
        <x:v>Deferred</x:v>
      </x:c>
      <x:c r="H45" s="15" t="str">
        <x:v>6.0</x:v>
      </x:c>
      <x:c r="I45" s="15" t="str">
        <x:v>Qualification</x:v>
      </x:c>
      <x:c r="J45" s="15" t="str">
        <x:v>DAW-034, DAW-035</x:v>
      </x:c>
      <x:c r="K45" s="15" t="str">
        <x:v>No unexplained discontinuity/corruption across defined capture and loop scenarios</x:v>
      </x:c>
      <x:c r="L45" s="15" t="str">
        <x:v>Physical loopback + listening/measurement suite</x:v>
      </x:c>
      <x:c r="M45" s="15" t="str">
        <x:v>Critical</x:v>
      </x:c>
      <x:c r="N45" s="15" t="str">
        <x:v>docs/current-backlog.md deferred equipment</x:v>
      </x:c>
      <x:c r="O45" s="15" t="n">
        <x:f>IF(G45="Done",0,IF(F45="P0",400,IF(F45="P44",300,IF(F45="P45",200,100)))+IF(G45="In Progress",60,IF(G45="Ready",50,IF(G45="Backlog",30,IF(G45="Blocked",10,0))))+IF(M45="Critical",20,IF(M45="High",10,0)))</x:f>
        <x:v>420</x:v>
      </x:c>
    </x:row>
    <x:row r="46" ht="26.399999618530273" hidden="0" customHeight="1">
      <x:c r="A46" s="15" t="str">
        <x:v>HW-035</x:v>
      </x:c>
      <x:c r="B46" s="15" t="str">
        <x:v>Stage Qualification</x:v>
      </x:c>
      <x:c r="C46" s="15" t="str">
        <x:v>Controllers</x:v>
      </x:c>
      <x:c r="D46" s="15" t="str">
        <x:v>Controller timing + reconnect measurement</x:v>
      </x:c>
      <x:c r="E46" s="15" t="str">
        <x:v>Measure end-to-end mapped-control timing and reconnect behavior</x:v>
      </x:c>
      <x:c r="F46" s="15" t="str">
        <x:v>P0</x:v>
      </x:c>
      <x:c r="G46" s="15" t="str">
        <x:v>Deferred</x:v>
      </x:c>
      <x:c r="H46" s="15" t="str">
        <x:v>6.0</x:v>
      </x:c>
      <x:c r="I46" s="15" t="str">
        <x:v>Qualification</x:v>
      </x:c>
      <x:c r="J46" s="15" t="str">
        <x:v>DEV-033, DEV-034, SEC-037</x:v>
      </x:c>
      <x:c r="K46" s="15" t="str">
        <x:v>Published event-to-action latency/jitter and reconnect envelope on named controllers</x:v>
      </x:c>
      <x:c r="L46" s="15" t="str">
        <x:v>Controller qualification harness</x:v>
      </x:c>
      <x:c r="M46" s="15" t="str">
        <x:v>Critical</x:v>
      </x:c>
      <x:c r="N46" s="15" t="str">
        <x:v>docs/current-backlog.md deferred equipment</x:v>
      </x:c>
      <x:c r="O46" s="15" t="n">
        <x:f>IF(G46="Done",0,IF(F46="P0",400,IF(F46="P45",300,IF(F46="P46",200,100)))+IF(G46="In Progress",60,IF(G46="Ready",50,IF(G46="Backlog",30,IF(G46="Blocked",10,0))))+IF(M46="Critical",20,IF(M46="High",10,0)))</x:f>
        <x:v>420</x:v>
      </x:c>
    </x:row>
    <x:row r="47" ht="26.399999618530273" hidden="0" customHeight="1">
      <x:c r="A47" s="15" t="str">
        <x:v>HW-036</x:v>
      </x:c>
      <x:c r="B47" s="15" t="str">
        <x:v>Stage Qualification</x:v>
      </x:c>
      <x:c r="C47" s="15" t="str">
        <x:v>RF</x:v>
      </x:c>
      <x:c r="D47" s="15" t="str">
        <x:v>LE Audio / UWB RF + clock validation</x:v>
      </x:c>
      <x:c r="E47" s="15" t="str">
        <x:v>Validate wireless timing/RF behavior rather than treating discovery as support</x:v>
      </x:c>
      <x:c r="F47" s="15" t="str">
        <x:v>P1</x:v>
      </x:c>
      <x:c r="G47" s="15" t="str">
        <x:v>Deferred</x:v>
      </x:c>
      <x:c r="H47" s="15" t="str">
        <x:v>6.x</x:v>
      </x:c>
      <x:c r="I47" s="15" t="str">
        <x:v>Qualification</x:v>
      </x:c>
      <x:c r="J47" s="15" t="str">
        <x:v>Named LE/UWB hardware</x:v>
      </x:c>
      <x:c r="K47" s="15" t="str">
        <x:v>Published RF, clock, loss and recovery evidence under defined venue conditions</x:v>
      </x:c>
      <x:c r="L47" s="15" t="str">
        <x:v>RF/clock qualification harness</x:v>
      </x:c>
      <x:c r="M47" s="15" t="str">
        <x:v>High</x:v>
      </x:c>
      <x:c r="N47" s="15" t="str">
        <x:v>docs/current-backlog.md deferred equipment</x:v>
      </x:c>
      <x:c r="O47" s="15" t="n">
        <x:f>IF(G47="Done",0,IF(F47="P0",400,IF(F47="P46",300,IF(F47="P47",200,100)))+IF(G47="In Progress",60,IF(G47="Ready",50,IF(G47="Backlog",30,IF(G47="Blocked",10,0))))+IF(M47="Critical",20,IF(M47="High",10,0)))</x:f>
        <x:v>110</x:v>
      </x:c>
    </x:row>
    <x:row r="48" ht="26.399999618530273" hidden="0" customHeight="1">
      <x:c r="A48" s="15" t="str">
        <x:v>HW-037</x:v>
      </x:c>
      <x:c r="B48" s="15" t="str">
        <x:v>Stage Qualification</x:v>
      </x:c>
      <x:c r="C48" s="15" t="str">
        <x:v>Redundancy</x:v>
      </x:c>
      <x:c r="D48" s="15" t="str">
        <x:v>Independent multi-host timing + failover measurement</x:v>
      </x:c>
      <x:c r="E48" s="15" t="str">
        <x:v>Measure actual failover/program gap across independent nodes</x:v>
      </x:c>
      <x:c r="F48" s="15" t="str">
        <x:v>P0</x:v>
      </x:c>
      <x:c r="G48" s="15" t="str">
        <x:v>Deferred</x:v>
      </x:c>
      <x:c r="H48" s="15" t="str">
        <x:v>6.0</x:v>
      </x:c>
      <x:c r="I48" s="15" t="str">
        <x:v>Qualification</x:v>
      </x:c>
      <x:c r="J48" s="15" t="str">
        <x:v>REC-033, REC-034</x:v>
      </x:c>
      <x:c r="K48" s="15" t="str">
        <x:v>Published authority and audible/program continuity envelope with independent clocks/hosts</x:v>
      </x:c>
      <x:c r="L48" s="15" t="str">
        <x:v>Two-node rehearsal + witness capture</x:v>
      </x:c>
      <x:c r="M48" s="15" t="str">
        <x:v>Critical</x:v>
      </x:c>
      <x:c r="N48" s="15" t="str">
        <x:v>docs/current-backlog.md deferred equipment</x:v>
      </x:c>
      <x:c r="O48" s="15" t="n">
        <x:f>IF(G48="Done",0,IF(F48="P0",400,IF(F48="P47",300,IF(F48="P48",200,100)))+IF(G48="In Progress",60,IF(G48="Ready",50,IF(G48="Backlog",30,IF(G48="Blocked",10,0))))+IF(M48="Critical",20,IF(M48="High",10,0)))</x:f>
        <x:v>420</x:v>
      </x:c>
    </x:row>
    <x:row r="49">
      <x:c r="A49" t="str">
        <x:v>SEC-040</x:v>
      </x:c>
      <x:c r="B49" t="str">
        <x:v>Security</x:v>
      </x:c>
      <x:c r="C49" t="str">
        <x:v>Deployment</x:v>
      </x:c>
      <x:c r="D49" t="str">
        <x:v>Real LAN TLS/proxy/IdP/firewall qualification</x:v>
      </x:c>
      <x:c r="E49" t="str">
        <x:v>Exercise the checkpoint-33 contract on the actual deployment topology rather than a local reference proxy</x:v>
      </x:c>
      <x:c r="F49" t="str">
        <x:v>P0</x:v>
      </x:c>
      <x:c r="G49" t="str">
        <x:v>Blocked</x:v>
      </x:c>
      <x:c r="H49" t="str">
        <x:v>5.3</x:v>
      </x:c>
      <x:c r="I49" t="str">
        <x:v>Qualification</x:v>
      </x:c>
      <x:c r="J49" t="str">
        <x:v>SEC-033, WIT-048, SEC-039</x:v>
      </x:c>
      <x:c r="K49" t="str">
        <x:v>Production proxy certificate, human identity injection, firewall/ingress policy and backend denial behavior all match the reviewed contract under controller workload</x:v>
      </x:c>
      <x:c r="L49" t="str">
        <x:v>Deployed qualification report with failure injection and controller traffic</x:v>
      </x:c>
      <x:c r="M49" t="str">
        <x:v>Critical</x:v>
      </x:c>
      <x:c r="N49" t="str">
        <x:v>docs/current-backlog.md priority 2</x:v>
      </x:c>
      <x:c r="O49" t="n">
        <x:f>IF(G49="Done",0,IF(F49="P0",400,IF(F49="P48",300,IF(F49="P49",200,100)))+IF(G49="In Progress",60,IF(G49="Ready",50,IF(G49="Backlog",30,IF(G49="Blocked",10,0))))+IF(M49="Critical",20,IF(M49="High",10,0)))</x:f>
        <x:v>430</x:v>
      </x:c>
    </x:row>
    <x:row r="50">
      <x:c r="A50" t="str">
        <x:v>WIT-048</x:v>
      </x:c>
      <x:c r="B50" t="str">
        <x:v>Recovery / Redundancy</x:v>
      </x:c>
      <x:c r="C50" t="str">
        <x:v>Witness</x:v>
      </x:c>
      <x:c r="D50" t="str">
        <x:v>Strict independent-witness deployment topology</x:v>
      </x:c>
      <x:c r="E50" t="str">
        <x:v>Make quorum require distinct configured witness identities, failure domains, per-endpoint credentials and bounded clock assumptions</x:v>
      </x:c>
      <x:c r="F50" t="str">
        <x:v>P0</x:v>
      </x:c>
      <x:c r="G50" t="str">
        <x:v>Done</x:v>
      </x:c>
      <x:c r="H50" t="str">
        <x:v>5.3</x:v>
      </x:c>
      <x:c r="I50" t="str">
        <x:v>Software</x:v>
      </x:c>
      <x:c r="J50" t="str">
        <x:v>SEC-036</x:v>
      </x:c>
      <x:c r="K50" t="str">
        <x:v>Explicit majority topology; unique IDs/domains/keyrings; HTTPS outside loopback; signed identity/domain/clock fencing; one-witness loss tolerated and two-witness loss denied</x:v>
      </x:c>
      <x:c r="L50" t="str">
        <x:v>555-test release suite; 71 focused tests; 3-process 3/3→2/3→1/3 drill; 2/2 RT CTest; 123 schemas/OpenAPI</x:v>
      </x:c>
      <x:c r="M50" t="str">
        <x:v>Critical</x:v>
      </x:c>
      <x:c r="N50" t="str">
        <x:v>docs/astra-checkpoint-48-validation.md</x:v>
      </x:c>
      <x:c r="O50" t="n">
        <x:f>IF(G50="Done",0,IF(F50="P0",400,IF(F50="P49",300,IF(F50="P50",200,100)))+IF(G50="In Progress",60,IF(G50="Ready",50,IF(G50="Backlog",30,IF(G50="Blocked",10,0))))+IF(M50="Critical",20,IF(M50="High",10,0)))</x:f>
        <x:v>0</x:v>
      </x:c>
    </x:row>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G2:G48">
    <x:cfRule type="expression" dxfId="0" priority="1">
      <x:formula>G2="Ready"</x:formula>
    </x:cfRule>
    <x:cfRule type="expression" dxfId="1" priority="2">
      <x:formula>G2="Backlog"</x:formula>
    </x:cfRule>
    <x:cfRule type="expression" dxfId="2" priority="3">
      <x:formula>G2="Blocked"</x:formula>
    </x:cfRule>
    <x:cfRule type="expression" dxfId="3" priority="4">
      <x:formula>G2="Deferred"</x:formula>
    </x:cfRule>
  </x:conditionalFormatting>
  <x:conditionalFormatting sqref="F2:F48">
    <x:cfRule type="expression" dxfId="4" priority="5">
      <x:formula>F2="P0"</x:formula>
    </x:cfRule>
  </x:conditionalFormatting>
  <x:conditionalFormatting sqref="G2:G49">
    <x:cfRule type="expression" dxfId="8" priority="6">
      <x:formula>G2="Done"</x:formula>
    </x:cfRule>
  </x:conditionalFormatting>
  <x:dataValidations count="5">
    <x:dataValidation type="list" sqref="F2:F48">
      <x:formula1>"P0,P1,P2,P3"</x:formula1>
    </x:dataValidation>
    <x:dataValidation type="list" sqref="G2:G48">
      <x:formula1>"Ready,Backlog,In Progress,Blocked,Deferred,Done"</x:formula1>
    </x:dataValidation>
    <x:dataValidation type="list" sqref="H2:H48">
      <x:formula1>"5.2,5.3,5.4,5.5,6.0,6.x"</x:formula1>
    </x:dataValidation>
    <x:dataValidation type="list" sqref="I2:I48">
      <x:formula1>"Software,Qualification,Decision"</x:formula1>
    </x:dataValidation>
    <x:dataValidation type="list" sqref="M2:M48">
      <x:formula1>"Critical,High,Medium,Low"</x:formula1>
    </x:dataValidation>
  </x:dataValidations>
  <x:pageMargins left="0.7" right="0.7" top="0.75" bottom="0.75" header="0.3" footer="0.3"/>
  <x:tableParts count="1">
    <x:tablePart xmlns:r="http://schemas.openxmlformats.org/officeDocument/2006/relationships" r:id="Rcd09b7854e024cfe"/>
  </x:tableParts>
</x:worksheet>
</file>

<file path=xl/worksheets/sheet3.xml><?xml version="1.0" encoding="utf-8"?>
<x:worksheet xmlns:x="http://schemas.openxmlformats.org/spreadsheetml/2006/main">
  <x:sheetFormatPr defaultRowHeight="15"/>
  <x:cols>
    <x:col min="1" max="1" width="18" hidden="0" customWidth="1"/>
    <x:col min="2" max="2" width="42" hidden="0" customWidth="1"/>
    <x:col min="3" max="3" width="18" hidden="0" customWidth="1"/>
    <x:col min="4" max="4" width="18" hidden="0" customWidth="1"/>
    <x:col min="5" max="5" width="22" hidden="0" customWidth="1"/>
    <x:col min="6" max="6" width="38" hidden="0" customWidth="1"/>
    <x:col min="7" max="7" width="18" hidden="0" customWidth="1"/>
  </x:cols>
  <x:sheetData>
    <x:row r="1" ht="15" hidden="0" customHeight="1">
      <x:c r="A1" s="4" t="str">
        <x:v>Checkpoint</x:v>
      </x:c>
      <x:c r="B1" s="4" t="str">
        <x:v>Delivered</x:v>
      </x:c>
      <x:c r="C1" s="4" t="str">
        <x:v>Tests Passed</x:v>
      </x:c>
      <x:c r="D1" s="4" t="str">
        <x:v>Suite</x:v>
      </x:c>
      <x:c r="E1" s="4" t="str">
        <x:v>Native Evidence</x:v>
      </x:c>
      <x:c r="F1" s="4" t="str">
        <x:v>Remaining Seam</x:v>
      </x:c>
      <x:c r="G1" s="4" t="str">
        <x:v>Date</x:v>
      </x:c>
    </x:row>
    <x:row r="2" ht="15" hidden="0" customHeight="1">
      <x:c r="A2" s="12" t="n">
        <x:v>22</x:v>
      </x:c>
      <x:c r="B2" s="12" t="str">
        <x:v>Strict HTTP request framing + body isolation</x:v>
      </x:c>
      <x:c r="C2" s="12" t="n">
        <x:v>427</x:v>
      </x:c>
      <x:c r="D2" s="12" t="str">
        <x:v>Python</x:v>
      </x:c>
      <x:c r="E2" s="12" t="str">
        <x:v>No fresh native build</x:v>
      </x:c>
      <x:c r="F2" s="12" t="str">
        <x:v>Proxy/TLS trust, resource bounds, auth review</x:v>
      </x:c>
      <x:c r="G2" s="12" t="str">
        <x:v>2026-09-13</x:v>
      </x:c>
    </x:row>
    <x:row r="3" ht="15" hidden="0" customHeight="1">
      <x:c r="A3" s="12" t="n">
        <x:v>23</x:v>
      </x:c>
      <x:c r="B3" s="12" t="str">
        <x:v>Bounded HTTP workers + inactivity timeout</x:v>
      </x:c>
      <x:c r="C3" s="12" t="n">
        <x:v>431</x:v>
      </x:c>
      <x:c r="D3" s="12" t="str">
        <x:v>Python</x:v>
      </x:c>
      <x:c r="E3" s="12" t="str">
        <x:v>No fresh native build</x:v>
      </x:c>
      <x:c r="F3" s="12" t="str">
        <x:v>Total deadlines, SSE budget, rate limits</x:v>
      </x:c>
      <x:c r="G3" s="12" t="str">
        <x:v>2026-09-13</x:v>
      </x:c>
    </x:row>
    <x:row r="4" ht="15" hidden="0" customHeight="1">
      <x:c r="A4" s="12" t="n">
        <x:v>24</x:v>
      </x:c>
      <x:c r="B4" s="12" t="str">
        <x:v>Separate SSE admission budget</x:v>
      </x:c>
      <x:c r="C4" s="12" t="n">
        <x:v>434</x:v>
      </x:c>
      <x:c r="D4" s="12" t="str">
        <x:v>Python</x:v>
      </x:c>
      <x:c r="E4" s="12" t="str">
        <x:v>No fresh native build</x:v>
      </x:c>
      <x:c r="F4" s="12" t="str">
        <x:v>Rate limits, proxy/TLS, authorization</x:v>
      </x:c>
      <x:c r="G4" s="12" t="str">
        <x:v>2026-09-13</x:v>
      </x:c>
    </x:row>
    <x:row r="5" ht="15" hidden="0" customHeight="1">
      <x:c r="A5" s="12" t="n">
        <x:v>25</x:v>
      </x:c>
      <x:c r="B5" s="12" t="str">
        <x:v>Monotonic total request receive deadline</x:v>
      </x:c>
      <x:c r="C5" s="12" t="n">
        <x:v>436</x:v>
      </x:c>
      <x:c r="D5" s="12" t="str">
        <x:v>Python</x:v>
      </x:c>
      <x:c r="E5" s="12" t="str">
        <x:v>No fresh native build</x:v>
      </x:c>
      <x:c r="F5" s="12" t="str">
        <x:v>Rate limits, proxy/TLS, secret lifecycle</x:v>
      </x:c>
      <x:c r="G5" s="12" t="str">
        <x:v>2026-09-13</x:v>
      </x:c>
    </x:row>
    <x:row r="6" ht="15" hidden="0" customHeight="1">
      <x:c r="A6" s="12" t="n">
        <x:v>26</x:v>
      </x:c>
      <x:c r="B6" s="12" t="str">
        <x:v>Per-peer + aggregate request-rate buckets</x:v>
      </x:c>
      <x:c r="C6" s="12" t="n">
        <x:v>440</x:v>
      </x:c>
      <x:c r="D6" s="12" t="str">
        <x:v>Python</x:v>
      </x:c>
      <x:c r="E6" s="12" t="str">
        <x:v>No fresh native build</x:v>
      </x:c>
      <x:c r="F6" s="12" t="str">
        <x:v>Workload qualification, operation-cost bounds</x:v>
      </x:c>
      <x:c r="G6" s="12" t="str">
        <x:v>2026-09-13</x:v>
      </x:c>
    </x:row>
    <x:row r="7" ht="15" hidden="0" customHeight="1">
      <x:c r="A7" s="12" t="n">
        <x:v>27</x:v>
      </x:c>
      <x:c r="B7" s="12" t="str">
        <x:v>Proxy privilege separation + header/log hardening</x:v>
      </x:c>
      <x:c r="C7" s="12" t="n">
        <x:v>450</x:v>
      </x:c>
      <x:c r="D7" s="12" t="str">
        <x:v>Python</x:v>
      </x:c>
      <x:c r="E7" s="12" t="str">
        <x:v>No fresh native build</x:v>
      </x:c>
      <x:c r="F7" s="12" t="str">
        <x:v>Deployment TLS, roles, secret rotation, audit</x:v>
      </x:c>
      <x:c r="G7" s="12" t="str">
        <x:v>2026-09-13</x:v>
      </x:c>
    </x:row>
    <x:row r="8" ht="15" hidden="0" customHeight="1">
      <x:c r="A8" s="12" t="n">
        <x:v>28</x:v>
      </x:c>
      <x:c r="B8" s="12" t="str">
        <x:v>Authenticated health + strict command identity</x:v>
      </x:c>
      <x:c r="C8" s="12" t="n">
        <x:v>455</x:v>
      </x:c>
      <x:c r="D8" s="12" t="str">
        <x:v>Python</x:v>
      </x:c>
      <x:c r="E8" s="12" t="str">
        <x:v>No fresh native build</x:v>
      </x:c>
      <x:c r="F8" s="12" t="str">
        <x:v>Security priority 2 consolidation</x:v>
      </x:c>
      <x:c r="G8" s="12" t="str">
        <x:v>2026-09-13</x:v>
      </x:c>
    </x:row>
    <x:row r="9" ht="15" hidden="0" customHeight="1">
      <x:c r="A9" s="12" t="n">
        <x:v>29</x:v>
      </x:c>
      <x:c r="B9" s="12" t="str">
        <x:v>Scoped monitoring credential</x:v>
      </x:c>
      <x:c r="C9" s="12" t="n">
        <x:v>460</x:v>
      </x:c>
      <x:c r="D9" s="12" t="str">
        <x:v>Python</x:v>
      </x:c>
      <x:c r="E9" s="12" t="str">
        <x:v>No fresh native build</x:v>
      </x:c>
      <x:c r="F9" s="12" t="str">
        <x:v>Per-user roles, secret lifecycle, durable audit</x:v>
      </x:c>
      <x:c r="G9" s="12" t="str">
        <x:v>2026-09-13</x:v>
      </x:c>
    </x:row>
    <x:row r="10" ht="26.399999618530273" hidden="0" customHeight="1">
      <x:c r="A10" s="12" t="n">
        <x:v>30</x:v>
      </x:c>
      <x:c r="B10" s="12" t="str">
        <x:v>Private credential-file rotation</x:v>
      </x:c>
      <x:c r="C10" s="12" t="n">
        <x:v>467</x:v>
      </x:c>
      <x:c r="D10" s="12" t="str">
        <x:v>Python</x:v>
      </x:c>
      <x:c r="E10" s="12" t="str">
        <x:v>No fresh native build</x:v>
      </x:c>
      <x:c r="F10" s="12" t="str">
        <x:v>In-flight/SSE revocation; witness/replication rotation</x:v>
      </x:c>
      <x:c r="G10" s="12" t="str">
        <x:v>2026-09-13</x:v>
      </x:c>
    </x:row>
    <x:row r="11" ht="15" hidden="0" customHeight="1">
      <x:c r="A11" s="12" t="n">
        <x:v>31</x:v>
      </x:c>
      <x:c r="B11" s="12" t="str">
        <x:v>SSE file-backed revocation checks</x:v>
      </x:c>
      <x:c r="C11" s="12" t="n">
        <x:v>470</x:v>
      </x:c>
      <x:c r="D11" s="12" t="str">
        <x:v>Python</x:v>
      </x:c>
      <x:c r="E11" s="12" t="str">
        <x:v>No fresh native build</x:v>
      </x:c>
      <x:c r="F11" s="12" t="str">
        <x:v>Per-user roles + durable actor/action audit</x:v>
      </x:c>
      <x:c r="G11" s="12" t="str">
        <x:v>2026-09-13</x:v>
      </x:c>
    </x:row>
    <x:row r="12" ht="26.399999618530273" hidden="0" customHeight="1">
      <x:c r="A12" s="12" t="n">
        <x:v>32</x:v>
      </x:c>
      <x:c r="B12" s="12" t="str">
        <x:v>Per-user roles + durable hash-linked authorization audit</x:v>
      </x:c>
      <x:c r="C12" s="12" t="n">
        <x:v>481</x:v>
      </x:c>
      <x:c r="D12" s="12" t="str">
        <x:v>Python + CTest</x:v>
      </x:c>
      <x:c r="E12" s="12" t="str">
        <x:v>2/2 native CTest</x:v>
      </x:c>
      <x:c r="F12" s="12" t="str">
        <x:v>TLS/proxy qualification, audit retention, secret lifecycle</x:v>
      </x:c>
      <x:c r="G12" s="12" t="str">
        <x:v>2026-09-13</x:v>
      </x:c>
    </x:row>
    <x:row r="13">
      <x:c r="A13" s="12" t="n">
        <x:v>33</x:v>
      </x:c>
      <x:c r="B13" s="12" t="str">
        <x:v>Strict proxy-HTTPS deployment profile + qualification harness</x:v>
      </x:c>
      <x:c r="C13" s="12" t="n">
        <x:v>487</x:v>
      </x:c>
      <x:c r="D13" s="12" t="str">
        <x:v>Python + live local TLS reference</x:v>
      </x:c>
      <x:c r="E13" s="12" t="str">
        <x:v>2/2 native CTest</x:v>
      </x:c>
      <x:c r="F13" s="12" t="str">
        <x:v>Real LAN proxy/cert/IdP/firewall qualification</x:v>
      </x:c>
      <x:c r="G13" s="12" t="str">
        <x:v>2026-09-13</x:v>
      </x:c>
    </x:row>
    <x:row r="14">
      <x:c r="A14" s="12" t="n">
        <x:v>34</x:v>
      </x:c>
      <x:c r="B14" s="12" t="str">
        <x:v>Bounded segmented authorization-audit retention + cryptographic prune anchor</x:v>
      </x:c>
      <x:c r="C14" s="12" t="n">
        <x:v>492</x:v>
      </x:c>
      <x:c r="D14" s="12" t="str">
        <x:v>Python + clean RT gate</x:v>
      </x:c>
      <x:c r="E14" s="12" t="str">
        <x:v>2/2 RT CTest</x:v>
      </x:c>
      <x:c r="F14" s="12" t="str">
        <x:v>Specialized auth audit unification; controller/disk qualification</x:v>
      </x:c>
      <x:c r="G14" s="12" t="str">
        <x:v>2026-09-13</x:v>
      </x:c>
    </x:row>
    <x:row r="15">
      <x:c r="A15" t="n">
        <x:v>35</x:v>
      </x:c>
      <x:c r="B15" t="str">
        <x:v>Rotating replication/witness HMAC keyrings with exact key IDs and no downgrade fallback</x:v>
      </x:c>
      <x:c r="C15" t="n">
        <x:v>500</x:v>
      </x:c>
      <x:c r="D15" t="str">
        <x:v>Release Python + schema/frontend/performance checks</x:v>
      </x:c>
      <x:c r="E15" t="str">
        <x:v>2/2 native CTest</x:v>
      </x:c>
      <x:c r="F15" t="str">
        <x:v>Specialized auth audit unification; witness clock/trust and real-LAN qualification</x:v>
      </x:c>
      <x:c r="G15" t="str">
        <x:v>2026-09-13</x:v>
      </x:c>
    </x:row>
    <x:row r="16">
      <x:c r="A16" t="n">
        <x:v>36</x:v>
      </x:c>
      <x:c r="B16" t="str">
        <x:v>Specialized admin/adapter/machine authorization audit evidence without privilege widening</x:v>
      </x:c>
      <x:c r="C16" t="n">
        <x:v>506</x:v>
      </x:c>
      <x:c r="D16" t="str">
        <x:v>Release Python + schema/frontend/performance checks</x:v>
      </x:c>
      <x:c r="E16" t="str">
        <x:v>2/2 RT native CTest</x:v>
      </x:c>
      <x:c r="F16" t="str">
        <x:v>Backend operation-cost bounds; controller and deployed LAN/witness qualification</x:v>
      </x:c>
      <x:c r="G16" t="str">
        <x:v>2026-09-13</x:v>
      </x:c>
    </x:row>
    <x:row r="17">
      <x:c r="A17" t="n">
        <x:v>37</x:v>
      </x:c>
      <x:c r="B17" t="str">
        <x:v>Non-blocking total/class admission budgets for known expensive HTTP operations</x:v>
      </x:c>
      <x:c r="C17" t="n">
        <x:v>510</x:v>
      </x:c>
      <x:c r="D17" t="str">
        <x:v>Release Python + schema/frontend/performance checks</x:v>
      </x:c>
      <x:c r="E17" t="str">
        <x:v>2/2 RT native CTest</x:v>
      </x:c>
      <x:c r="F17" t="str">
        <x:v>Controller workload/rate-policy; real LAN and witness qualification</x:v>
      </x:c>
      <x:c r="G17" t="str">
        <x:v>2026-09-13</x:v>
      </x:c>
    </x:row>
    <x:row r="18">
      <x:c r="A18" t="n">
        <x:v>38</x:v>
      </x:c>
      <x:c r="B18" t="str">
        <x:v>Repeatable controller HTTP workload + rate-policy reference qualification</x:v>
      </x:c>
      <x:c r="C18" t="n">
        <x:v>513</x:v>
      </x:c>
      <x:c r="D18" t="str">
        <x:v>Release Python + workload/schema/frontend/performance checks</x:v>
      </x:c>
      <x:c r="E18" t="str">
        <x:v>2/2 RT native CTest</x:v>
      </x:c>
      <x:c r="F18" t="str">
        <x:v>Physical controller timing; real LAN and independent witness qualification</x:v>
      </x:c>
      <x:c r="G18" t="str">
        <x:v>2026-09-13</x:v>
      </x:c>
    </x:row>
    <x:row r="19">
      <x:c r="A19" t="n">
        <x:v>39</x:v>
      </x:c>
      <x:c r="B19" t="str">
        <x:v>Linux integer/multichannel physical PCM adapters with explicit conversion-policy fencing</x:v>
      </x:c>
      <x:c r="C19" t="n">
        <x:v>516</x:v>
      </x:c>
      <x:c r="D19" t="str">
        <x:v>Release Python + schema/frontend/performance checks</x:v>
      </x:c>
      <x:c r="E19" t="str">
        <x:v>2/2 RT native CTest + live ALSA-null S16/S24 4ch</x:v>
      </x:c>
      <x:c r="F19" t="str">
        <x:v>Converter-quality measurement; Windows/macOS physical audio adapters</x:v>
      </x:c>
      <x:c r="G19" t="str">
        <x:v>2026-09-13</x:v>
      </x:c>
    </x:row>
    <x:row r="20">
      <x:c r="A20" t="n">
        <x:v>40</x:v>
      </x:c>
      <x:c r="B20" t="str">
        <x:v>Durable inode-bound temporary-resource owner manifests with conservative crash cleanup</x:v>
      </x:c>
      <x:c r="C20" t="n">
        <x:v>524</x:v>
      </x:c>
      <x:c r="D20" t="str">
        <x:v>Release Python + durability/schema/frontend/performance checks</x:v>
      </x:c>
      <x:c r="E20" t="str">
        <x:v>2/2 RT native CTest</x:v>
      </x:c>
      <x:c r="F20" t="str">
        <x:v>Recording publication directory durability; physical storage power-cut qualification</x:v>
      </x:c>
      <x:c r="G20" t="str">
        <x:v>2026-09-13</x:v>
      </x:c>
    </x:row>
    <x:row r="21">
      <x:c r="A21" t="n">
        <x:v>41</x:v>
      </x:c>
      <x:c r="B21" t="str">
        <x:v>Parent-directory durability for finalized and recovered recording publication</x:v>
      </x:c>
      <x:c r="C21" t="n">
        <x:v>527</x:v>
      </x:c>
      <x:c r="D21" t="str">
        <x:v>Release Python + recording/schema/frontend/performance checks</x:v>
      </x:c>
      <x:c r="E21" t="str">
        <x:v>2/2 RT native CTest</x:v>
      </x:c>
      <x:c r="F21" t="str">
        <x:v>Physical storage power-cut/audible capture qualification; arbitrary loop-wrap completion</x:v>
      </x:c>
      <x:c r="G21" t="str">
        <x:v>2026-09-13</x:v>
      </x:c>
    </x:row>
    <x:row r="22">
      <x:c r="A22" t="n">
        <x:v>42</x:v>
      </x:c>
      <x:c r="B22" t="str">
        <x:v>Sample-exact arbitrary-length arrangement/clip loop wrapping across producer and native queue</x:v>
      </x:c>
      <x:c r="C22" t="n">
        <x:v>529</x:v>
      </x:c>
      <x:c r="D22" t="str">
        <x:v>Release Python + automation/schema/frontend checks</x:v>
      </x:c>
      <x:c r="E22" t="str">
        <x:v>2/2 RT native CTest</x:v>
      </x:c>
      <x:c r="F22" t="str">
        <x:v>Audible real-output loop qualification; cross-platform adapters</x:v>
      </x:c>
      <x:c r="G22" t="str">
        <x:v>2026-09-13</x:v>
      </x:c>
    </x:row>
    <x:row r="23">
      <x:c r="A23" t="n">
        <x:v>43</x:v>
      </x:c>
      <x:c r="B23" t="str">
        <x:v>Reviewed, expiring multi-source driver package metadata with stale/unreviewed fencing</x:v>
      </x:c>
      <x:c r="C23" t="n">
        <x:v>531</x:v>
      </x:c>
      <x:c r="D23" t="str">
        <x:v>Release Python + driver/schema/frontend/performance checks</x:v>
      </x:c>
      <x:c r="E23" t="str">
        <x:v>2/2 RT native CTest</x:v>
      </x:c>
      <x:c r="F23" t="str">
        <x:v>Windows/macOS endpoint evidence adapters; broader vendor review and physical qualification</x:v>
      </x:c>
      <x:c r="G23" t="str">
        <x:v>2026-09-13</x:v>
      </x:c>
    </x:row>
    <x:row r="24">
      <x:c r="A24" t="n">
        <x:v>44</x:v>
      </x:c>
      <x:c r="B24" t="str">
        <x:v>Explicit unicast sACN/E1.31 plus semantic fixture resolution through committed venue patches</x:v>
      </x:c>
      <x:c r="C24" t="n">
        <x:v>533</x:v>
      </x:c>
      <x:c r="D24" t="str">
        <x:v>Release Python + lighting/schema/frontend/performance checks</x:v>
      </x:c>
      <x:c r="E24" t="str">
        <x:v>2/2 RT native CTest</x:v>
      </x:c>
      <x:c r="F24" t="str">
        <x:v>Real console/network interoperability; multicast/sync only if product scope requires</x:v>
      </x:c>
      <x:c r="G24" t="str">
        <x:v>2026-09-13</x:v>
      </x:c>
    </x:row>
    <x:row r="25">
      <x:c r="A25" t="n">
        <x:v>45</x:v>
      </x:c>
      <x:c r="B25" t="str">
        <x:v>Typed patch/department/resource operational authority leases with fail-closed lifecycle fencing</x:v>
      </x:c>
      <x:c r="C25" t="n">
        <x:v>540</x:v>
      </x:c>
      <x:c r="D25" t="str">
        <x:v>Release Python + authority/schema/frontend/performance checks</x:v>
      </x:c>
      <x:c r="E25" t="str">
        <x:v>2/2 RT native CTest</x:v>
      </x:c>
      <x:c r="F25" t="str">
        <x:v>Signed adaptation/authority receipts and externally witnessed Public Record</x:v>
      </x:c>
      <x:c r="G25" t="str">
        <x:v>2026-09-13</x:v>
      </x:c>
    </x:row>
    <x:row r="26">
      <x:c r="A26" t="n">
        <x:v>46</x:v>
      </x:c>
      <x:c r="B26" t="str">
        <x:v>Signed append-only adaptation/authority Public Record with external exact-hash witness attestations</x:v>
      </x:c>
      <x:c r="C26" t="n">
        <x:v>545</x:v>
      </x:c>
      <x:c r="D26" t="str">
        <x:v>Release Python + Public Record/schema/frontend/performance checks</x:v>
      </x:c>
      <x:c r="E26" t="str">
        <x:v>2/2 RT native CTest</x:v>
      </x:c>
      <x:c r="F26" t="str">
        <x:v>Production-independent witness deployment/public-key transparency; governance/conformance bindings</x:v>
      </x:c>
      <x:c r="G26" t="str">
        <x:v>2026-09-13</x:v>
      </x:c>
    </x:row>
    <x:row r="27">
      <x:c r="A27" t="n">
        <x:v>47</x:v>
      </x:c>
      <x:c r="B27" t="str">
        <x:v>Signed technology conformance receipts bound to exact maturity evidence digests</x:v>
      </x:c>
      <x:c r="C27" t="n">
        <x:v>548</x:v>
      </x:c>
      <x:c r="D27" t="str">
        <x:v>Release Python + conformance/schema/frontend/performance checks</x:v>
      </x:c>
      <x:c r="E27" t="str">
        <x:v>2/2 RT native CTest</x:v>
      </x:c>
      <x:c r="F27" t="str">
        <x:v>Independent witness option prioritized before community-governance expansion</x:v>
      </x:c>
      <x:c r="G27" t="str">
        <x:v>2026-09-14</x:v>
      </x:c>
    </x:row>
    <x:row r="28">
      <x:c r="A28" t="n">
        <x:v>48</x:v>
      </x:c>
      <x:c r="B28" t="str">
        <x:v>Strict independent-witness topology with unique IDs/domains/keyrings and signed clock-skew fencing</x:v>
      </x:c>
      <x:c r="C28" t="n">
        <x:v>555</x:v>
      </x:c>
      <x:c r="D28" t="str">
        <x:v>Release Python + witness reference/schema/frontend/performance checks</x:v>
      </x:c>
      <x:c r="E28" t="str">
        <x:v>2/2 RT native CTest; 3-process quorum drill passed</x:v>
      </x:c>
      <x:c r="F28" t="str">
        <x:v>Real multi-host witness/recovery/failure-domain qualification</x:v>
      </x:c>
      <x:c r="G28" t="str">
        <x:v>2026-09-14</x:v>
      </x:c>
    </x:row>
    <x:row r="29">
      <x:c r="A29" t="n">
        <x:v>49</x:v>
      </x:c>
      <x:c r="B29" t="str">
        <x:v>Privacy-preserving community governance Public Record binding and evidence reconciliation</x:v>
      </x:c>
      <x:c r="C29" t="n">
        <x:v>559</x:v>
      </x:c>
      <x:c r="D29" t="str">
        <x:v>Release Python + governance/schema/frontend/performance checks</x:v>
      </x:c>
      <x:c r="E29" t="str">
        <x:v>2/2 RT native CTest</x:v>
      </x:c>
      <x:c r="F29" t="str">
        <x:v>Real account-auth voting adapter; physical witness/LAN qualification</x:v>
      </x:c>
      <x:c r="G29" t="str">
        <x:v>2026-09-14</x:v>
      </x:c>
    </x:row>
    <x:row r="30">
      <x:c r="A30" t="n">
        <x:v>50</x:v>
      </x:c>
      <x:c r="B30" t="str">
        <x:v>Trusted auth-proxy community account sessions with generation-based revocation and session-only voting</x:v>
      </x:c>
      <x:c r="C30" t="n">
        <x:v>566</x:v>
      </x:c>
      <x:c r="D30" t="str">
        <x:v>Release Python + account-auth/schema/frontend/performance checks</x:v>
      </x:c>
      <x:c r="E30" t="str">
        <x:v>2/2 RT native CTest</x:v>
      </x:c>
      <x:c r="F30" t="str">
        <x:v>Production IdP/LAN integration; remaining work requires external environments/platforms</x:v>
      </x:c>
      <x:c r="G30" t="str">
        <x:v>2026-09-14</x:v>
      </x:c>
    </x:row>
    <x:row r="31">
      <x:c r="A31" t="n">
        <x:v>51</x:v>
      </x:c>
      <x:c r="B31" t="str">
        <x:v>Linux external plugin adapter SHA-256 verification bound to exact inherited launch file descriptor</x:v>
      </x:c>
      <x:c r="C31" t="n">
        <x:v>568</x:v>
      </x:c>
      <x:c r="D31" t="str">
        <x:v>Release Python + plugin/schema/frontend/performance checks</x:v>
      </x:c>
      <x:c r="E31" t="str">
        <x:v>2/2 RT native CTest</x:v>
      </x:c>
      <x:c r="F31" t="str">
        <x:v>Windows/macOS native launch binding; licensed real-plugin qualification</x:v>
      </x:c>
      <x:c r="G31" t="str">
        <x:v>2026-09-14</x:v>
      </x:c>
    </x:row>
    <x:row r="32">
      <x:c r="A32" t="n">
        <x:v>52</x:v>
      </x:c>
      <x:c r="B32" t="str">
        <x:v>Reviewed Focusrite Scarlett 4th Gen Windows x64 package metadata for exact USB identities</x:v>
      </x:c>
      <x:c r="C32" t="n">
        <x:v>569</x:v>
      </x:c>
      <x:c r="D32" t="str">
        <x:v>Release Python + driver-catalog/schema/frontend/performance checks</x:v>
      </x:c>
      <x:c r="E32" t="str">
        <x:v>2/2 RT native CTest (unchanged native source)</x:v>
      </x:c>
      <x:c r="F32" t="str">
        <x:v>Windows/macOS endpoint evidence adapters; broader catalog re-review; physical qualification</x:v>
      </x:c>
      <x:c r="G32" t="str">
        <x:v>2026-09-14</x:v>
      </x:c>
    </x:row>
    <x:row r="33">
      <x:c r="A33" t="n">
        <x:v>53</x:v>
      </x:c>
      <x:c r="B33" t="str">
        <x:v>Offline driver-catalog review audit with expiry horizon and fail-closed stale/unreviewed/invalid reporting</x:v>
      </x:c>
      <x:c r="C33" t="n">
        <x:v>572</x:v>
      </x:c>
      <x:c r="D33" t="str">
        <x:v>Release Python + catalog-audit/schema/frontend/performance checks</x:v>
      </x:c>
      <x:c r="E33" t="str">
        <x:v>2/2 RT native CTest (unchanged native source)</x:v>
      </x:c>
      <x:c r="F33" t="str">
        <x:v>Human vendor re-review; Windows/macOS endpoint evidence; physical qualification</x:v>
      </x:c>
      <x:c r="G33" t="str">
        <x:v>2026-09-14</x:v>
      </x:c>
    </x:row>
    <x:row r="34">
      <x:c r="A34" t="n">
        <x:v>54</x:v>
      </x:c>
      <x:c r="B34" t="str">
        <x:v>Real-Chromium rendered workflow and responsive reference acceptance with 390 px overflow fix</x:v>
      </x:c>
      <x:c r="C34" t="n">
        <x:v>573</x:v>
      </x:c>
      <x:c r="D34" t="str">
        <x:v>Release Python + Chromium/browser/schema/frontend/performance checks</x:v>
      </x:c>
      <x:c r="E34" t="str">
        <x:v>2/2 RT native CTest</x:v>
      </x:c>
      <x:c r="F34" t="str">
        <x:v>Assistive-technology and deployed browser-to-LAN/TLS/IdP qualification</x:v>
      </x:c>
      <x:c r="G34" t="str">
        <x:v>2026-09-14</x:v>
      </x:c>
    </x:row>
    <x:row r="35">
      <x:c r="A35" t="n">
        <x:v>55</x:v>
      </x:c>
      <x:c r="B35" t="str">
        <x:v>Privacy-preserving Windows AudioEndpoint/signed-driver and macOS CoreAudio evidence adapters</x:v>
      </x:c>
      <x:c r="C35" t="n">
        <x:v>578</x:v>
      </x:c>
      <x:c r="D35" t="str">
        <x:v>Release Python + endpoint/driver/schema/frontend/performance checks</x:v>
      </x:c>
      <x:c r="E35" t="str">
        <x:v>2/2 RT native CTest (native source unchanged)</x:v>
      </x:c>
      <x:c r="F35" t="str">
        <x:v>Real Windows/macOS host execution; audio/device lifecycle and platform security adapters</x:v>
      </x:c>
      <x:c r="G35" t="str">
        <x:v>2026-09-14</x:v>
      </x:c>
    </x:row>
    <x:row r="36">
      <x:c r="A36" t="n">
        <x:v>56</x:v>
      </x:c>
      <x:c r="B36" t="str">
        <x:v>Persistence-grade WASAPI/CoreAudio/CoreMIDI identity-strength contract with weak-identity fail-closed reconnect rules</x:v>
      </x:c>
      <x:c r="C36" t="n">
        <x:v>584</x:v>
      </x:c>
      <x:c r="D36" t="str">
        <x:v>Release Python + identity/schema/frontend/performance checks</x:v>
      </x:c>
      <x:c r="E36" t="str">
        <x:v>2/2 RT native CTest (native source unchanged)</x:v>
      </x:c>
      <x:c r="F36" t="str">
        <x:v>Actual Windows/macOS enumeration, hotplug notifications, stream recovery and platform qualification</x:v>
      </x:c>
      <x:c r="G36" t="str">
        <x:v>2026-09-14</x:v>
      </x:c>
    </x:row>
    <x:row r="37">
      <x:c r="A37" t="n">
        <x:v>57</x:v>
      </x:c>
      <x:c r="B37" t="str">
        <x:v>Backend-agnostic audio stop plus exact-unique persistent MIDI rebind across native endpoint-ID churn</x:v>
      </x:c>
      <x:c r="C37" t="n">
        <x:v>600</x:v>
      </x:c>
      <x:c r="D37" t="str">
        <x:v>Release Python + device-lifecycle/schema/frontend/performance checks</x:v>
      </x:c>
      <x:c r="E37" t="str">
        <x:v>2/2 RT native CTest (native source unchanged)</x:v>
      </x:c>
      <x:c r="F37" t="str">
        <x:v>Real Windows/macOS enumeration/change notifications, physical audio/MIDI execution and qualification</x:v>
      </x:c>
      <x:c r="G37" t="str">
        <x:v>2026-09-14</x:v>
      </x:c>
    </x:row>
    <x:row r="38">
      <x:c r="A38" t="n">
        <x:v>58</x:v>
      </x:c>
      <x:c r="B38" t="str">
        <x:v>Backend-neutral physical-audio active-state and post-start identity fencing with explicit platform-preflight boundary</x:v>
      </x:c>
      <x:c r="C38" t="n">
        <x:v>604</x:v>
      </x:c>
      <x:c r="D38" t="str">
        <x:v>Release Python + audio-runtime/schema/frontend/performance checks</x:v>
      </x:c>
      <x:c r="E38" t="str">
        <x:v>2/2 RT native CTest (native source unchanged)</x:v>
      </x:c>
      <x:c r="F38" t="str">
        <x:v>WASAPI/CoreAudio exact preflight/configuration and native stream adapters</x:v>
      </x:c>
      <x:c r="G38" t="str">
        <x:v>2026-09-14</x:v>
      </x:c>
    </x:row>
    <x:row r="39">
      <x:c r="A39" t="n">
        <x:v>59</x:v>
      </x:c>
      <x:c r="B39" t="str">
        <x:v>Transport-neutral bounded UPPF framing plus fail-closed Windows named-pipe ACL-validation contract</x:v>
      </x:c>
      <x:c r="C39" t="n">
        <x:v>610</x:v>
      </x:c>
      <x:c r="D39" t="str">
        <x:v>Release Python + local-IPC/session/schema/frontend/performance checks</x:v>
      </x:c>
      <x:c r="E39" t="str">
        <x:v>2/2 RT native CTest (native source unchanged)</x:v>
      </x:c>
      <x:c r="F39" t="str">
        <x:v>Real Windows DACL/listener/service integration and client/server execution</x:v>
      </x:c>
      <x:c r="G39" t="str">
        <x:v>2026-09-14</x:v>
      </x:c>
    </x:row>
    <x:row r="40">
      <x:c r="A40" t="n">
        <x:v>60</x:v>
      </x:c>
      <x:c r="B40" t="str">
        <x:v>Fail-closed Windows/macOS plugin launch attestation contract with no path-digest fallback</x:v>
      </x:c>
      <x:c r="C40" t="n">
        <x:v>614</x:v>
      </x:c>
      <x:c r="D40" t="str">
        <x:v>Release Python + plugin/schema/frontend/performance checks</x:v>
      </x:c>
      <x:c r="E40" t="str">
        <x:v>2/2 RT native CTest (native source unchanged)</x:v>
      </x:c>
      <x:c r="F40" t="str">
        <x:v>Actual Windows/macOS launch binders and licensed product qualification</x:v>
      </x:c>
      <x:c r="G40" t="str">
        <x:v>2026-09-14</x:v>
      </x:c>
    </x:row>
    <x:row r="41">
      <x:c r="A41" t="n">
        <x:v>61</x:v>
      </x:c>
      <x:c r="B41" t="str">
        <x:v>Installed isolated-rootfs Linux packaging qualifier with sysusers/tmpfiles, unit verification and state lifecycle checks</x:v>
      </x:c>
      <x:c r="C41" t="n">
        <x:v>616</x:v>
      </x:c>
      <x:c r="D41" t="str">
        <x:v>Release Python + package/schema/frontend/performance checks</x:v>
      </x:c>
      <x:c r="E41" t="str">
        <x:v>2/2 RT native CTest (native source unchanged)</x:v>
      </x:c>
      <x:c r="F41" t="str">
        <x:v>Real clean-host service boot/upgrade plus audio/MIDI/device permission qualification</x:v>
      </x:c>
      <x:c r="G41" t="str">
        <x:v>2026-09-14</x:v>
      </x:c>
    </x:row>
    <x:row r="42">
      <x:c r="A42" t="n">
        <x:v>62</x:v>
      </x:c>
      <x:c r="B42" t="str">
        <x:v>Real-Chromium accessibility-tree reference qualification for operator semantics</x:v>
      </x:c>
      <x:c r="C42" t="n">
        <x:v>618</x:v>
      </x:c>
      <x:c r="D42" t="str">
        <x:v>Release Python + Chromium AX-tree/schema/frontend/performance checks</x:v>
      </x:c>
      <x:c r="E42" t="str">
        <x:v>2/2 RT native CTest (native source unchanged)</x:v>
      </x:c>
      <x:c r="F42" t="str">
        <x:v>Actual screen-reader/switch/voice assistive-technology and deployed browser-network qualification</x:v>
      </x:c>
      <x:c r="G42" t="str">
        <x:v>2026-09-14</x:v>
      </x:c>
    </x:row>
    <x:row r="43">
      <x:c r="A43" t="n">
        <x:v>63</x:v>
      </x:c>
      <x:c r="B43" t="str">
        <x:v>Exact-build external qualification plan/result envelopes for all remaining environment-dependent gates</x:v>
      </x:c>
      <x:c r="C43" t="n">
        <x:v>621</x:v>
      </x:c>
      <x:c r="D43" t="str">
        <x:v>Release Python + qualification-bundle/schema/frontend/performance checks</x:v>
      </x:c>
      <x:c r="E43" t="str">
        <x:v>2/2 RT native CTest (native source unchanged)</x:v>
      </x:c>
      <x:c r="F43" t="str">
        <x:v>Actual external witness/LAN/OS/AT/plugin/hardware execution and evidence review</x:v>
      </x:c>
      <x:c r="G43" t="str">
        <x:v>2026-09-14</x:v>
      </x:c>
    </x:row>
    <x:row r="44">
      <x:c r="A44" t="n">
        <x:v>64</x:v>
      </x:c>
      <x:c r="B44" t="str">
        <x:v>Authenticated exact-build external qualification evidence review with required artifact verification</x:v>
      </x:c>
      <x:c r="C44" t="n">
        <x:v>627</x:v>
      </x:c>
      <x:c r="D44" t="str">
        <x:v>Release Python + qualification-review/schema/frontend/performance checks</x:v>
      </x:c>
      <x:c r="E44" t="str">
        <x:v>2/2 RT native CTest</x:v>
      </x:c>
      <x:c r="F44" t="str">
        <x:v>Actual external qualification execution and reviewer approval for remaining environment-dependent gates</x:v>
      </x:c>
      <x:c r="G44" t="str">
        <x:v>2026-09-14</x:v>
      </x:c>
    </x:row>
    <x:row r="45">
      <x:c r="A45" t="n">
        <x:v>65</x:v>
      </x:c>
      <x:c r="B45" t="str">
        <x:v>Exact-build external qualification intake/status aggregation with tamper-after-review detection</x:v>
      </x:c>
      <x:c r="C45" t="n">
        <x:v>631</x:v>
      </x:c>
      <x:c r="D45" t="str">
        <x:v>Release Python + qualification-status/schema/frontend/performance checks</x:v>
      </x:c>
      <x:c r="E45" t="str">
        <x:v>2/2 RT native CTest</x:v>
      </x:c>
      <x:c r="F45" t="str">
        <x:v>Actual external evidence submission/review for the eight remaining qualification environments</x:v>
      </x:c>
      <x:c r="G45" t="str">
        <x:v>2026-09-14</x:v>
      </x:c>
    </x:row>
    <x:row r="46">
      <x:c r="A46" t="n">
        <x:v>66</x:v>
      </x:c>
      <x:c r="B46" t="str">
        <x:v>Protected explicit-SID Win32 CreateNamedPipeW listener for bounded authenticated UPPF</x:v>
      </x:c>
      <x:c r="C46" t="n">
        <x:v>638</x:v>
      </x:c>
      <x:c r="D46" t="str">
        <x:v>Release Python split full-suite + named-pipe/schema/frontend/performance checks</x:v>
      </x:c>
      <x:c r="E46" t="str">
        <x:v>2/2 RT native CTest</x:v>
      </x:c>
      <x:c r="F46" t="str">
        <x:v>Actual Windows DACL inspection, unauthorized-client denial and service/client execution</x:v>
      </x:c>
      <x:c r="G46" t="str">
        <x:v>2026-09-14</x:v>
      </x:c>
    </x:row>
    <x:row r="47">
      <x:c r="A47" t="n">
        <x:v>67</x:v>
      </x:c>
      <x:c r="B47" t="str">
        <x:v>Pre-accept live kernel-DACL attestation for the protected Win32 UPPF named-pipe listener</x:v>
      </x:c>
      <x:c r="C47" t="n">
        <x:v>645</x:v>
      </x:c>
      <x:c r="D47" t="str">
        <x:v>Release Python split full-suite + Win32 ACL/schema/frontend/performance checks</x:v>
      </x:c>
      <x:c r="E47" t="str">
        <x:v>2/2 RT native CTest</x:v>
      </x:c>
      <x:c r="F47" t="str">
        <x:v>Actual Windows GetSecurityInfo/client-denial/service execution</x:v>
      </x:c>
      <x:c r="G47" t="str">
        <x:v>2026-09-14</x:v>
      </x:c>
    </x:row>
    <x:row r="48">
      <x:c r="A48" t="n">
        <x:v>68</x:v>
      </x:c>
      <x:c r="B48" t="str">
        <x:v>Installed service-identity explicit device-permission qualifier for clean-host Linux hardware namespace evidence</x:v>
      </x:c>
      <x:c r="C48" t="n">
        <x:v>650</x:v>
      </x:c>
      <x:c r="D48" t="str">
        <x:v>Release Python split full-suite + device-permission/package/schema/frontend/performance checks</x:v>
      </x:c>
      <x:c r="E48" t="str">
        <x:v>2/2 RT native CTest</x:v>
      </x:c>
      <x:c r="F48" t="str">
        <x:v>Real clean-host stagemesh-user ALSA/MIDI/UWB device permission matrix</x:v>
      </x:c>
      <x:c r="G48" t="str">
        <x:v>2026-09-14</x:v>
      </x:c>
    </x:row>
    <x:row r="49">
      <x:c r="A49" t="n">
        <x:v>69</x:v>
      </x:c>
      <x:c r="B49" t="str">
        <x:v>Cross-platform GitHub Actions build/smoke harness with exact-engine platform evidence artifacts</x:v>
      </x:c>
      <x:c r="C49" t="n">
        <x:v>654</x:v>
      </x:c>
      <x:c r="D49" t="str">
        <x:v>Release Python + local Linux CI-smoke/schema/frontend/performance checks</x:v>
      </x:c>
      <x:c r="E49" t="str">
        <x:v>2/2 RT native CTest</x:v>
      </x:c>
      <x:c r="F49" t="str">
        <x:v>Seed GitHub source; execute/review Windows and macOS hosted jobs; retain physical qualification separately</x:v>
      </x:c>
      <x:c r="G49" t="str">
        <x:v>2026-09-14</x:v>
      </x:c>
    </x:row>
    <x:row r="50">
      <x:c r="A50" t="n">
        <x:v>70</x:v>
      </x:c>
      <x:c r="B50" t="str">
        <x:v>GitHub-canonical hosted Windows kernel DACL, authorized UPPF roundtrip and unauthorized-client denial evidence</x:v>
      </x:c>
      <x:c r="C50" t="n">
        <x:v>654</x:v>
      </x:c>
      <x:c r="D50" t="str">
        <x:v>GitHub Platform Modules: Linux/Windows/macOS all green; Windows denial returned WinError 5</x:v>
      </x:c>
      <x:c r="E50" t="str">
        <x:v>Checkpoint 69 local 2/2 RT native CTest baseline retained; target module bytes unchanged</x:v>
      </x:c>
      <x:c r="F50" t="str">
        <x:v>Production Windows service lifecycle/identity/restart integration; physical/platform hardware qualification remains separate</x:v>
      </x:c>
      <x:c r="G50" t="str">
        <x:v>2026-09-14</x:v>
      </x:c>
    </x:row>
    <x:row r="51">
      <x:c r="A51" t="n">
        <x:v>71</x:v>
      </x:c>
      <x:c r="B51" t="str">
        <x:v>Hosted Windows SCM LocalSystem service start/stop/restart with authenticated UPPF before and after restart</x:v>
      </x:c>
      <x:c r="C51" t="n">
        <x:v>654</x:v>
      </x:c>
      <x:c r="D51" t="str">
        <x:v>GitHub Platform Modules + generic CI green; downloaded Windows SCM evidence all intended lifecycle fields true</x:v>
      </x:c>
      <x:c r="E51" t="str">
        <x:v>Checkpoint 69 local 2/2 RT native CTest baseline retained</x:v>
      </x:c>
      <x:c r="F51" t="str">
        <x:v>Idle pending-accept stop cancellation remains; physical hardware remains separate</x:v>
      </x:c>
      <x:c r="G51" t="str">
        <x:v>2026-09-14</x:v>
      </x:c>
    </x:row>
    <x:row r="52">
      <x:c r="A52" t="n">
        <x:v>72</x:v>
      </x:c>
      <x:c r="B52" t="str">
        <x:v>Windows UPPF idle pending-accept shutdown and stale-handle-free SCM restart qualification</x:v>
      </x:c>
      <x:c r="C52" t="n">
        <x:v>654</x:v>
      </x:c>
      <x:c r="D52" t="str">
        <x:v>GitHub Platform Modules + generic CI green; idle STOP 0.266s and authenticated reconnect</x:v>
      </x:c>
      <x:c r="E52" t="str">
        <x:v>Checkpoint 69 local 2/2 RT native CTest baseline retained</x:v>
      </x:c>
      <x:c r="F52" t="str">
        <x:v>Windows IPC software row closed; remaining cross-platform work is audio/device/plugin plus external qualification</x:v>
      </x:c>
      <x:c r="G52" t="str">
        <x:v>2026-09-14</x:v>
      </x:c>
    </x:row>
    <x:row r="53">
      <x:c r="A53" t="n">
        <x:v>73</x:v>
      </x:c>
      <x:c r="B53" t="str">
        <x:v>GitHub-hosted Windows/macOS native verification-to-launch binders</x:v>
      </x:c>
      <x:c r="C53" t="n">
        <x:v>654</x:v>
      </x:c>
      <x:c r="D53" t="str">
        <x:v>Generic CI + StageMesh Platform Modules green; Windows and Apple Silicon native-launch artifacts qualified</x:v>
      </x:c>
      <x:c r="E53" t="str">
        <x:v>Checkpoint 69 local 2/2 RT native CTest baseline retained</x:v>
      </x:c>
      <x:c r="F53" t="str">
        <x:v>Licensed plugin product matrices remain PLUG-035/036; physical hardware remains separate</x:v>
      </x:c>
      <x:c r="G53" t="str">
        <x:v>2026-09-14</x:v>
      </x:c>
    </x:row>
    <x:row r="54" ht="118" customHeight="1">
      <x:c r="A54" s="12" t="n">
        <x:v>74</x:v>
      </x:c>
      <x:c r="B54" s="12" t="str">
        <x:v>Native Windows MMDevice / macOS CoreAudio device monitor with explicit listener lifecycle</x:v>
      </x:c>
      <x:c r="C54" s="12" t="n">
        <x:v>2</x:v>
      </x:c>
      <x:c r="D54" s="12" t="str">
        <x:v>1 native CTest per OS plus evidence executable; all 6 GitHub checks passed. No full-engine regression claim.</x:v>
      </x:c>
      <x:c r="E54" s="12" t="str">
        <x:v>Hosted 25-cycle stop/restart, inactive/wrong-thread rejection and active destruction. Windows 0 endpoints; macOS 3.</x:v>
      </x:c>
      <x:c r="F54" s="12" t="str">
        <x:v>DEV-033/034 remain In Progress. Event delivery, MIDI, persistent identity, engine integration and streaming remain open; no hardware qualification.</x:v>
      </x:c>
      <x:c r="G54" s="12" t="str">
        <x:v>2026-09-14</x:v>
      </x:c>
    </x:row>
    <x:row r="55" ht="132" customHeight="1">
      <x:c r="A55" s="12" t="n">
        <x:v>75</x:v>
      </x:c>
      <x:c r="B55" s="12" t="str">
        <x:v>Persistent identity and native CoreAudio/CoreMIDI software events</x:v>
      </x:c>
      <x:c r="C55" s="12" t="n">
        <x:v>2</x:v>
      </x:c>
      <x:c r="D55" s="12" t="str">
        <x:v>1 native CTest per OS; all hosted workflows passed. macOS AddressSanitizer enabled.</x:v>
      </x:c>
      <x:c r="E55" s="12" t="str">
        <x:v>CoreAudio/CoreMIDI add/remove/recreate, exact-unique recovery. Windows empty-host identity contract.</x:v>
      </x:c>
      <x:c r="F55" s="12" t="str">
        <x:v>DEV-033/034 stay In Progress; engine integration, Windows native MIDI/stable-ID/events and physical hotplug remain.</x:v>
      </x:c>
      <x:c r="G55" s="12" t="str">
        <x:v>2026-09-14</x:v>
      </x:c>
    </x:row>
    <x:row r="56" ht="132" customHeight="1">
      <x:c r="A56" s="12" t="n">
        <x:v>76</x:v>
      </x:c>
      <x:c r="B56" s="12" t="str">
        <x:v>Fail-closed device execution fence with explicit rearm</x:v>
      </x:c>
      <x:c r="C56" s="12" t="n">
        <x:v>4</x:v>
      </x:c>
      <x:c r="D56" s="12" t="str">
        <x:v>2 native CTests per OS; all hosted workflows passed.</x:v>
      </x:c>
      <x:c r="E56" s="12" t="str">
        <x:v>Synthetic fence contract on both OSes; macOS CoreAudio/CoreMIDI software fence scenarios passed.</x:v>
      </x:c>
      <x:c r="F56" s="12" t="str">
        <x:v>Fence state machine does not own/stop real streams. Engine stream owner integration and physical qualification remain.</x:v>
      </x:c>
      <x:c r="G56" s="12" t="str">
        <x:v>2026-09-14</x:v>
      </x:c>
    </x:row>
    <x:row r="57" ht="132" customHeight="1">
      <x:c r="A57" s="12" t="n">
        <x:v>77</x:v>
      </x:c>
      <x:c r="B57" s="12" t="str">
        <x:v>Native WASAPI/CoreAudio exact audio preflight</x:v>
      </x:c>
      <x:c r="C57" s="12" t="n">
        <x:v>6</x:v>
      </x:c>
      <x:c r="D57" s="12" t="str">
        <x:v>3 native CTests per OS plus evidence executables; all 6 GitHub checks passed.</x:v>
      </x:c>
      <x:c r="E57" s="12" t="str">
        <x:v>macOS playback/capture: 48000 Hz, 512 frames, 2ch float32. Windows: no endpoints; missing-endpoint rejection passed.</x:v>
      </x:c>
      <x:c r="F57" s="12" t="str">
        <x:v>AUD-035/036 stay In Progress. No configuration applied, no audio I/O started; stream/engine integration remains.</x:v>
      </x:c>
      <x:c r="G57" s="12" t="str">
        <x:v>2026-09-14</x:v>
      </x:c>
    </x:row>
    <x:row r="58" ht="132" customHeight="1">
      <x:c r="A58" s="12" t="n">
        <x:v>78</x:v>
      </x:c>
      <x:c r="B58" s="12" t="str">
        <x:v>Guarded stream lifecycle and manual macOS Generic Output rendering</x:v>
      </x:c>
      <x:c r="C58" s="12" t="n">
        <x:v>8</x:v>
      </x:c>
      <x:c r="D58" s="12" t="str">
        <x:v>4 native CTests per OS; all 6 GitHub checks passed. macOS AddressSanitizer enabled.</x:v>
      </x:c>
      <x:c r="E58" s="12" t="str">
        <x:v>Stale state, pending stop and explicit rearm contracts; macOS 18 callbacks / 4608 frames with fenced silence and restart.</x:v>
      </x:c>
      <x:c r="F58" s="12" t="str">
        <x:v>AUD-035/036 and DEV-033/034 remain In Progress. No device clock, endpoint I/O, physical qualification or full-engine integration.</x:v>
      </x:c>
      <x:c r="G58" s="12" t="str">
        <x:v>2026-09-14</x:v>
      </x:c>
    </x:row>
    <x:row r="59" ht="132" customHeight="1">
      <x:c r="A59" s="12" t="n">
        <x:v>79</x:v>
      </x:c>
      <x:c r="B59" s="12" t="str">
        <x:v>Native endpoint playback ownership and Windows MIDI discovery</x:v>
      </x:c>
      <x:c r="C59" s="12" t="n">
        <x:v>10</x:v>
      </x:c>
      <x:c r="D59" s="12" t="str">
        <x:v>5 native CTests per OS; all 6 GitHub checks passed. macOS AddressSanitizer enabled.</x:v>
      </x:c>
      <x:c r="E59" s="12" t="str">
        <x:v>macOS AUHAL 19 callbacks / 9728 frames; native stop/restart and topology stop. Windows one MIDI endpoint, zero audio endpoints.</x:v>
      </x:c>
      <x:c r="F59" s="12" t="str">
        <x:v>AUD-035/036 and DEV-033/034 remain In Progress. Capture, conversion, selected-device loss and full-engine integration remain; no physical qualification.</x:v>
      </x:c>
      <x:c r="G59" s="12" t="str">
        <x:v>2026-09-14</x:v>
      </x:c>
    </x:row>
    <x:row r="60" ht="132" customHeight="1">
      <x:c r="A60" s="12" t="n">
        <x:v>80</x:v>
      </x:c>
      <x:c r="B60" s="12" t="str">
        <x:v>Shared native playback/capture and selected software endpoint loss/recovery</x:v>
      </x:c>
      <x:c r="C60" s="12" t="n">
        <x:v>14</x:v>
      </x:c>
      <x:c r="D60" s="12" t="str">
        <x:v>7 native CTests per OS; all 6 GitHub checks passed. macOS AddressSanitizer enabled.</x:v>
      </x:c>
      <x:c r="E60" s="12" t="str">
        <x:v>Capture 23 callbacks/11776 frames; selected loss/recovery: 17 playback + 17 capture callbacks. No samples saved.</x:v>
      </x:c>
      <x:c r="F60" s="12" t="str">
        <x:v>4 software rows stay In Progress: full-engine/conversion source needed; Windows has no audio endpoint. Licensed and physical qualification remain separate.</x:v>
      </x:c>
      <x:c r="G60" s="12" t="str">
        <x:v>2026-09-14</x:v>
      </x:c>
    </x:row>
    <x:row r="61" ht="132" customHeight="1">
      <x:c r="A61" s="12" t="n">
        <x:v>81</x:v>
      </x:c>
      <x:c r="B61" s="12" t="str">
        <x:v>Fresh explicit authorization after native stream revocation</x:v>
      </x:c>
      <x:c r="C61" s="12" t="n">
        <x:v>14</x:v>
      </x:c>
      <x:c r="D61" s="12" t="str">
        <x:v>7 native CTests per OS; all 6 GitHub checks passed. macOS AddressSanitizer enabled.</x:v>
      </x:c>
      <x:c r="E61" s="12" t="str">
        <x:v>Real macOS topology stop/restart with one explicit rearm: playback 32 callbacks; capture 27 callbacks. Old authority stays rejected.</x:v>
      </x:c>
      <x:c r="F61" s="12" t="str">
        <x:v>4 software rows remain In Progress; missing engine/conversion source and Windows live endpoint evidence. No licensed or physical qualification.</x:v>
      </x:c>
      <x:c r="G61" s="12" t="str">
        <x:v>2026-09-15</x:v>
      </x:c>
    </x:row>
    <x:row r="62" ht="132" customHeight="1">
      <x:c r="A62" s="12" t="n">
        <x:v>82</x:v>
      </x:c>
      <x:c r="B62" s="12" t="str">
        <x:v>Fence weakened identity assurance before native recovery</x:v>
      </x:c>
      <x:c r="C62" s="12" t="n">
        <x:v>14</x:v>
      </x:c>
      <x:c r="D62" s="12" t="str">
        <x:v>7 native CTests per OS; all 6 GitHub checks passed. macOS AddressSanitizer enabled.</x:v>
      </x:c>
      <x:c r="E62" s="12" t="str">
        <x:v>Injected weak metadata stops native I/O; restored strong inventory requires rearm. Selected-loss fixture: 27 playback / 33 capture callbacks.</x:v>
      </x:c>
      <x:c r="F62" s="12" t="str">
        <x:v>4 software rows remain In Progress. Metadata downgrade is synthetic; no physical qualification. Full-engine source and Windows live endpoints still needed.</x:v>
      </x:c>
      <x:c r="G62" s="12" t="str">
        <x:v>2026-09-15</x:v>
      </x:c>
    </x:row>
    <x:row r="63" ht="132" customHeight="1">
      <x:c r="A63" s="12" t="n">
        <x:v>83</x:v>
      </x:c>
      <x:c r="B63" s="12" t="str">
        <x:v>Pinned audio capability probe without default substitution</x:v>
      </x:c>
      <x:c r="C63" s="12" t="n">
        <x:v>14</x:v>
      </x:c>
      <x:c r="D63" s="12" t="str">
        <x:v>7 native CTests per OS; all 6 GitHub checks passed. macOS AddressSanitizer enabled.</x:v>
      </x:c>
      <x:c r="E63" s="12" t="str">
        <x:v>Non-default aggregate capabilities feed native I/O; removed pin reports absent despite available default. Selected-loss fixture: 39 playback / 29 capture callbacks.</x:v>
      </x:c>
      <x:c r="F63" s="12" t="str">
        <x:v>4 software rows remain In Progress. Full-engine/conversion source and Windows live endpoint evidence still needed. No physical qualification.</x:v>
      </x:c>
      <x:c r="G63" s="12" t="str">
        <x:v>2026-09-15</x:v>
      </x:c>
    </x:row>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tableParts count="1">
    <x:tablePart xmlns:r="http://schemas.openxmlformats.org/officeDocument/2006/relationships" r:id="R1a0c310c21ab488e"/>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48" hidden="0" customWidth="1"/>
    <x:col min="4" max="4" width="30" hidden="0" customWidth="1"/>
    <x:col min="5" max="5" width="34" hidden="0" customWidth="1"/>
  </x:cols>
  <x:sheetData>
    <x:row r="1" ht="15" hidden="0" customHeight="1">
      <x:c r="A1" s="3" t="str">
        <x:v>Gate</x:v>
      </x:c>
      <x:c r="B1" s="3" t="str">
        <x:v>State</x:v>
      </x:c>
      <x:c r="C1" s="3" t="str">
        <x:v>Evidence Still Required</x:v>
      </x:c>
      <x:c r="D1" s="3" t="str">
        <x:v>Backlog IDs</x:v>
      </x:c>
      <x:c r="E1" s="3" t="str">
        <x:v>Claim Constraint</x:v>
      </x:c>
    </x:row>
    <x:row r="2" ht="26.399999618530273" hidden="0" customHeight="1">
      <x:c r="A2" s="12" t="str">
        <x:v>LAN security</x:v>
      </x:c>
      <x:c r="B2" s="12" t="str">
        <x:v>Blocked</x:v>
      </x:c>
      <x:c r="C2" s="12" t="str">
        <x:v>Real deployed TLS/proxy/certificate/IdP/firewall exercise plus physical independent-witness clock/network/failure-domain evidence</x:v>
      </x:c>
      <x:c r="D2" s="12" t="str">
        <x:v>SEC-039, SEC-040</x:v>
      </x:c>
      <x:c r="E2" s="12" t="str">
        <x:v>Strict witness software/reference drill passes; no LAN-ready or physical-independence claim without deployed evidence</x:v>
      </x:c>
    </x:row>
    <x:row r="3" ht="15" hidden="0" customHeight="1">
      <x:c r="A3" s="12" t="str">
        <x:v>Persistent-fence recovery</x:v>
      </x:c>
      <x:c r="B3" s="12" t="str">
        <x:v>Blocked</x:v>
      </x:c>
      <x:c r="C3" s="12" t="str">
        <x:v>Real multi-host recovery through the strict 2-of-3 independent-witness topology, including one-witness loss</x:v>
      </x:c>
      <x:c r="D3" s="12" t="str">
        <x:v>REC-033, REC-034</x:v>
      </x:c>
      <x:c r="E3" s="12" t="str">
        <x:v>Software/reference quorum is complete; no production recovery claim until independent hosts are exercised</x:v>
      </x:c>
    </x:row>
    <x:row r="4" ht="26.399999618530273" hidden="0" customHeight="1">
      <x:c r="A4" s="12" t="str">
        <x:v>Audio conversion</x:v>
      </x:c>
      <x:c r="B4" s="12" t="str">
        <x:v>Blocked</x:v>
      </x:c>
      <x:c r="C4" s="12" t="str">
        <x:v>Measured noise/distortion/phase/resampling quality on named physical interfaces</x:v>
      </x:c>
      <x:c r="D4" s="12" t="str">
        <x:v>AUD-034</x:v>
      </x:c>
      <x:c r="E4" s="12" t="str">
        <x:v>Linux software execution is complete; no converter-quality or universal-hardware claim</x:v>
      </x:c>
    </x:row>
    <x:row r="5" ht="92" hidden="0" customHeight="1">
      <x:c r="A5" s="12" t="str">
        <x:v>Device hotplug</x:v>
      </x:c>
      <x:c r="B5" s="12" t="str">
        <x:v>Blocked</x:v>
      </x:c>
      <x:c r="C5" s="12" t="str">
        <x:v>Windows stable-ID/live events and endpoint loss; full-engine integration; named physical-device churn</x:v>
      </x:c>
      <x:c r="D5" s="12" t="str">
        <x:v>DEV-033..DEV-035</x:v>
      </x:c>
      <x:c r="E5" s="12" t="str">
        <x:v>Pinned capability readback rejects missing/rebound identity without substituting the default. Hosted macOS selected aggregate removal/recovery passes. Windows live PnP and physical churn remain unverified.</x:v>
      </x:c>
    </x:row>
    <x:row r="6" ht="15" hidden="0" customHeight="1">
      <x:c r="A6" s="12" t="str">
        <x:v>Live audio</x:v>
      </x:c>
      <x:c r="B6" s="12" t="str">
        <x:v>Blocked</x:v>
      </x:c>
      <x:c r="C6" s="12" t="str">
        <x:v>Named-hardware soak + licensed plugin qualification</x:v>
      </x:c>
      <x:c r="D6" s="12" t="str">
        <x:v>LIVE-033, PLUG-033</x:v>
      </x:c>
      <x:c r="E6" s="12" t="str">
        <x:v>No stage-audio claim</x:v>
      </x:c>
    </x:row>
    <x:row r="7" ht="15" hidden="0" customHeight="1">
      <x:c r="A7" s="12" t="str">
        <x:v>Browser operations</x:v>
      </x:c>
      <x:c r="B7" s="12" t="str">
        <x:v>Open</x:v>
      </x:c>
      <x:c r="C7" s="12" t="str">
        <x:v>Actual screen-reader/keyboard assistive-technology exercise plus direct deployed browser-to-LAN/TLS/IdP qualification</x:v>
      </x:c>
      <x:c r="D7" s="12" t="str">
        <x:v>UX-035, SEC-040</x:v>
      </x:c>
      <x:c r="E7" s="12" t="str">
        <x:v>Rendered/responsive and Chromium accessibility-tree references pass; no screen-reader or deployed browser-network claim</x:v>
      </x:c>
    </x:row>
    <x:row r="8" ht="15" hidden="0" customHeight="1">
      <x:c r="A8" s="12" t="str">
        <x:v>Linux packaging</x:v>
      </x:c>
      <x:c r="B8" s="12" t="str">
        <x:v>Open</x:v>
      </x:c>
      <x:c r="C8" s="12" t="str">
        <x:v>Real clean-host/VM boot and upgrade exercise plus stagemesh-user runs of the installed device-permission verifier against actual ALSA/MIDI/UWB nodes</x:v>
      </x:c>
      <x:c r="D8" s="12" t="str">
        <x:v>PKG-033, PKG-034</x:v>
      </x:c>
      <x:c r="E8" s="12" t="str">
        <x:v>Isolated-rootfs lifecycle and installed permission-verifier semantics pass; no real host/device qualification yet</x:v>
      </x:c>
    </x:row>
    <x:row r="9" ht="15" hidden="0" customHeight="1">
      <x:c r="A9" s="12" t="str">
        <x:v>Plugin coverage</x:v>
      </x:c>
      <x:c r="B9" s="12" t="str">
        <x:v>Blocked</x:v>
      </x:c>
      <x:c r="C9" s="12" t="str">
        <x:v>Licensed real-plugin compatibility matrices on Windows/macOS and remaining claimed OS/architectures</x:v>
      </x:c>
      <x:c r="D9" s="12" t="str">
        <x:v>PLUG-035..PLUG-038</x:v>
      </x:c>
      <x:c r="E9" s="12" t="str">
        <x:v>Linux and hosted Windows/macOS launch-binding mechanisms are complete; no licensed-product compatibility claim</x:v>
      </x:c>
    </x:row>
    <x:row r="10" ht="92" hidden="0" customHeight="1">
      <x:c r="A10" s="12" t="str">
        <x:v>Cross-platform</x:v>
      </x:c>
      <x:c r="B10" s="12" t="str">
        <x:v>Blocked</x:v>
      </x:c>
      <x:c r="C10" s="12" t="str">
        <x:v>Full-source engine/conversion integration; Windows live audio endpoint evidence; licensed matrices</x:v>
      </x:c>
      <x:c r="D10" s="12" t="str">
        <x:v>AUD-035/036, DEV-033/034, PLUG-035/036</x:v>
      </x:c>
      <x:c r="E10" s="12" t="str">
        <x:v>Checkpoint 83 macOS non-default pinned capability readback feeds native playback/capture and rejects fallback after removal. Full-engine, Windows live audio, licensed and physical qualification remain open.</x:v>
      </x:c>
    </x:row>
    <x:row r="11" ht="15" hidden="0" customHeight="1">
      <x:c r="A11" s="12" t="str">
        <x:v>Stage-qualified 6.0</x:v>
      </x:c>
      <x:c r="B11" s="12" t="str">
        <x:v>Deferred</x:v>
      </x:c>
      <x:c r="C11" s="12" t="str">
        <x:v>Named hardware timing/soak/RF/failover/rehearsal evidence</x:v>
      </x:c>
      <x:c r="D11" s="12" t="str">
        <x:v>HW-033..HW-037</x:v>
      </x:c>
      <x:c r="E11" s="12" t="str">
        <x:v>Release gate remains closed</x:v>
      </x:c>
    </x:row>
    <x:row r="12"/>
    <x:row r="13"/>
    <x:row r="14"/>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conditionalFormatting sqref="B2:B11">
    <x:cfRule type="expression" dxfId="5" priority="1">
      <x:formula>B2="Blocked"</x:formula>
    </x:cfRule>
    <x:cfRule type="expression" dxfId="6" priority="2">
      <x:formula>B2="Open"</x:formula>
    </x:cfRule>
    <x:cfRule type="expression" dxfId="7" priority="3">
      <x:formula>B2="Deferred"</x:formula>
    </x:cfRule>
  </x:conditionalFormatting>
  <x:pageMargins left="0.7" right="0.7" top="0.75" bottom="0.75" header="0.3" footer="0.3"/>
  <x:tableParts count="1">
    <x:tablePart xmlns:r="http://schemas.openxmlformats.org/officeDocument/2006/relationships" r:id="R040dc7120e5842ef"/>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78" hidden="0" customWidth="1"/>
  </x:cols>
  <x:sheetData>
    <x:row r="1" ht="15" hidden="0" customHeight="1">
      <x:c r="A1" s="3" t="str">
        <x:v>Category</x:v>
      </x:c>
      <x:c r="B1" s="3" t="str">
        <x:v>Value</x:v>
      </x:c>
      <x:c r="C1" s="3" t="str">
        <x:v>Meaning</x:v>
      </x:c>
    </x:row>
    <x:row r="2" ht="15" hidden="0" customHeight="1">
      <x:c r="A2" s="12" t="str">
        <x:v>Status</x:v>
      </x:c>
      <x:c r="B2" s="12" t="str">
        <x:v>Ready</x:v>
      </x:c>
      <x:c r="C2" s="12" t="str">
        <x:v>Scoped, dependencies understood, can begin without inventing missing external evidence.</x:v>
      </x:c>
    </x:row>
    <x:row r="3" ht="15" hidden="0" customHeight="1">
      <x:c r="A3" s="12" t="str">
        <x:v>Status</x:v>
      </x:c>
      <x:c r="B3" s="12" t="str">
        <x:v>Backlog</x:v>
      </x:c>
      <x:c r="C3" s="12" t="str">
        <x:v>Valid remaining work but needs design/implementation before it is execution-ready.</x:v>
      </x:c>
    </x:row>
    <x:row r="4" ht="26.399999618530273" hidden="0" customHeight="1">
      <x:c r="A4" s="12" t="str">
        <x:v>Status</x:v>
      </x:c>
      <x:c r="B4" s="12" t="str">
        <x:v>Blocked</x:v>
      </x:c>
      <x:c r="C4" s="12" t="str">
        <x:v>Cannot be completed honestly without a missing environment, license, platform or external dependency.</x:v>
      </x:c>
    </x:row>
    <x:row r="5" ht="15" hidden="0" customHeight="1">
      <x:c r="A5" s="12" t="str">
        <x:v>Status</x:v>
      </x:c>
      <x:c r="B5" s="12" t="str">
        <x:v>Deferred</x:v>
      </x:c>
      <x:c r="C5" s="12" t="str">
        <x:v>Intentionally postponed qualification/equipment work; not complete.</x:v>
      </x:c>
    </x:row>
    <x:row r="6" ht="26.399999618530273" hidden="0" customHeight="1">
      <x:c r="A6" s="12" t="str">
        <x:v>Status</x:v>
      </x:c>
      <x:c r="B6" s="12" t="str">
        <x:v>Done</x:v>
      </x:c>
      <x:c r="C6" s="12" t="str">
        <x:v>Acceptance and verification evidence exist for this layer. Done software does not imply qualified hardware.</x:v>
      </x:c>
    </x:row>
    <x:row r="7" ht="15" hidden="0" customHeight="1">
      <x:c r="A7" s="12" t="str">
        <x:v>Type</x:v>
      </x:c>
      <x:c r="B7" s="12" t="str">
        <x:v>Software</x:v>
      </x:c>
      <x:c r="C7" s="12" t="str">
        <x:v>Code/protocol/configuration work that can be closed with deterministic software evidence.</x:v>
      </x:c>
    </x:row>
    <x:row r="8" ht="26.399999618530273" hidden="0" customHeight="1">
      <x:c r="A8" s="12" t="str">
        <x:v>Type</x:v>
      </x:c>
      <x:c r="B8" s="12" t="str">
        <x:v>Qualification</x:v>
      </x:c>
      <x:c r="C8" s="12" t="str">
        <x:v>Evidence work requiring a deployment, real browser, OS, device, plugin, RF environment or production-like rehearsal.</x:v>
      </x:c>
    </x:row>
    <x:row r="9" ht="15" hidden="0" customHeight="1">
      <x:c r="A9" s="12" t="str">
        <x:v>Type</x:v>
      </x:c>
      <x:c r="B9" s="12" t="str">
        <x:v>Decision</x:v>
      </x:c>
      <x:c r="C9" s="12" t="str">
        <x:v>Owner/governance choice that blocks downstream work.</x:v>
      </x:c>
    </x:row>
    <x:row r="10" ht="15" hidden="0" customHeight="1">
      <x:c r="A10" s="12" t="str">
        <x:v>Priority</x:v>
      </x:c>
      <x:c r="B10" s="12" t="str">
        <x:v>P0</x:v>
      </x:c>
      <x:c r="C10" s="12" t="str">
        <x:v>Safety, authority, release or show-critical blocker.</x:v>
      </x:c>
    </x:row>
    <x:row r="11" ht="15" hidden="0" customHeight="1">
      <x:c r="A11" s="12" t="str">
        <x:v>Priority</x:v>
      </x:c>
      <x:c r="B11" s="12" t="str">
        <x:v>P1</x:v>
      </x:c>
      <x:c r="C11" s="12" t="str">
        <x:v>Important capability/reliability work that should follow the current P0 seam.</x:v>
      </x:c>
    </x:row>
    <x:row r="12" ht="15" hidden="0" customHeight="1">
      <x:c r="A12" s="12" t="str">
        <x:v>Priority</x:v>
      </x:c>
      <x:c r="B12" s="12" t="str">
        <x:v>P2</x:v>
      </x:c>
      <x:c r="C12" s="12" t="str">
        <x:v>Longer-horizon ecosystem/governance expansion.</x:v>
      </x:c>
    </x:row>
    <x:row r="13" ht="26.399999618530273" hidden="0" customHeight="1">
      <x:c r="A13" s="12" t="str">
        <x:v>Rule</x:v>
      </x:c>
      <x:c r="B13" s="12" t="str">
        <x:v>Support claims</x:v>
      </x:c>
      <x:c r="C13" s="12" t="str">
        <x:v>Only evidence from the relevant layer can close a claim. Inventory/discovery never substitutes for measured qualification.</x:v>
      </x:c>
    </x:row>
    <x:row r="14" ht="15" hidden="0" customHeight="1">
      <x:c r="A14" s="12" t="str">
        <x:v>Rule</x:v>
      </x:c>
      <x:c r="B14" s="12" t="str">
        <x:v>Dates</x:v>
      </x:c>
      <x:c r="C14" s="12" t="str">
        <x:v>No invented delivery dates. Sequence and gates are explicit; dates require real staffing/capacity.</x:v>
      </x:c>
    </x:row>
    <x:row r="15"/>
    <x:row r="16"/>
    <x:row r="17"/>
    <x:row r="18"/>
    <x:row r="19"/>
    <x:row r="20"/>
    <x:row r="21"/>
    <x:row r="22"/>
    <x:row r="23"/>
    <x:row r="24"/>
    <x:row r="25"/>
    <x:row r="26"/>
    <x:row r="27"/>
    <x:row r="28"/>
    <x:row r="29"/>
    <x:row r="30"/>
    <x:row r="31"/>
    <x:row r="32"/>
    <x:row r="33"/>
    <x:row r="34"/>
    <x:row r="35"/>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row r="92"/>
    <x:row r="93"/>
    <x:row r="94"/>
    <x:row r="95"/>
    <x:row r="96"/>
    <x:row r="97"/>
    <x:row r="98"/>
    <x:row r="99"/>
    <x:row r="100"/>
    <x:row r="101"/>
    <x:row r="102"/>
    <x:row r="103"/>
    <x:row r="104"/>
    <x:row r="105"/>
    <x:row r="106"/>
    <x:row r="107"/>
    <x:row r="108"/>
    <x:row r="109"/>
    <x:row r="110"/>
    <x:row r="111"/>
    <x:row r="112"/>
    <x:row r="113"/>
    <x:row r="114"/>
    <x:row r="115"/>
    <x:row r="116"/>
    <x:row r="117"/>
    <x:row r="118"/>
    <x:row r="119"/>
    <x:row r="120"/>
    <x:row r="121"/>
    <x:row r="122"/>
    <x:row r="123"/>
    <x:row r="124"/>
    <x:row r="125"/>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row r="154"/>
    <x:row r="155"/>
    <x:row r="156"/>
    <x:row r="157"/>
    <x:row r="158"/>
    <x:row r="159"/>
    <x:row r="160"/>
    <x:row r="161"/>
    <x:row r="162"/>
    <x:row r="163"/>
    <x:row r="164"/>
    <x:row r="165"/>
    <x:row r="166"/>
    <x:row r="167"/>
    <x:row r="168"/>
    <x:row r="169"/>
    <x:row r="170"/>
    <x:row r="171"/>
    <x:row r="172"/>
    <x:row r="173"/>
    <x:row r="174"/>
    <x:row r="175"/>
    <x:row r="176"/>
    <x:row r="177"/>
    <x:row r="178"/>
    <x:row r="179"/>
    <x:row r="180"/>
    <x:row r="181"/>
    <x:row r="182"/>
    <x:row r="183"/>
    <x:row r="184"/>
    <x:row r="185"/>
    <x:row r="186"/>
    <x:row r="187"/>
    <x:row r="188"/>
    <x:row r="189"/>
    <x:row r="190"/>
    <x:row r="191"/>
    <x:row r="192"/>
    <x:row r="193"/>
    <x:row r="194"/>
    <x:row r="195"/>
    <x:row r="196"/>
    <x:row r="197"/>
    <x:row r="198"/>
    <x:row r="199"/>
    <x:row r="200"/>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4" hidden="0" customWidth="1"/>
    <x:col min="3" max="3" width="36" hidden="0" customWidth="1"/>
    <x:col min="4" max="4" width="28" hidden="0" customWidth="1"/>
    <x:col min="5" max="5" width="40" hidden="0" customWidth="1"/>
    <x:col min="6" max="6" width="30" hidden="0" customWidth="1"/>
    <x:col min="7" max="7" width="22" hidden="0" customWidth="1"/>
    <x:col min="8" max="8" width="25" hidden="0" customWidth="1"/>
    <x:col min="9" max="9" width="42" hidden="0" customWidth="1"/>
    <x:col min="10" max="10" width="34" hidden="0" customWidth="1"/>
  </x:cols>
  <x:sheetData>
    <x:row r="1">
      <x:c r="A1" s="81" t="str">
        <x:v>StageMesh External Qualification Plan</x:v>
      </x:c>
      <x:c r="B1" s="81"/>
      <x:c r="C1" s="81"/>
      <x:c r="D1" s="81"/>
      <x:c r="E1" s="81"/>
      <x:c r="F1" s="81"/>
      <x:c r="G1" s="81"/>
      <x:c r="H1" s="81"/>
      <x:c r="I1" s="70"/>
      <x:c r="J1" s="70"/>
    </x:row>
    <x:row r="2">
      <x:c r="A2" s="82" t="str">
        <x:v>Plan sha256:6d6f16e34d55ead174f55bd7e2cb39d1ad225fb27c11845be24ccd6bb54e4fbd · Source sha256:64310cb7547ebf86b0b817ce7629a45a0564470469ce741872fccab65ecc8650 · Engine sha256:56cee8c0f3864b0eb897909c8152ea26d2a83a5f3c8beba4cb1728c19c48de59</x:v>
      </x:c>
      <x:c r="B2" s="82"/>
      <x:c r="C2" s="82"/>
      <x:c r="D2" s="82"/>
      <x:c r="E2" s="82"/>
      <x:c r="F2" s="82"/>
      <x:c r="G2" s="82"/>
      <x:c r="H2" s="82"/>
      <x:c r="I2" s="70"/>
      <x:c r="J2" s="70"/>
    </x:row>
    <x:row r="3">
      <x:c r="A3" s="70"/>
      <x:c r="B3" s="70"/>
      <x:c r="C3" s="70"/>
      <x:c r="D3" s="70"/>
      <x:c r="E3" s="70"/>
      <x:c r="F3" s="70"/>
      <x:c r="G3" s="70"/>
      <x:c r="H3" s="70"/>
      <x:c r="I3" s="70"/>
      <x:c r="J3" s="70"/>
    </x:row>
    <x:row r="4">
      <x:c r="A4" s="84" t="str">
        <x:v>Task</x:v>
      </x:c>
      <x:c r="B4" s="84" t="str">
        <x:v>Backlog IDs</x:v>
      </x:c>
      <x:c r="C4" s="84" t="str">
        <x:v>Required environment</x:v>
      </x:c>
      <x:c r="D4" s="84" t="str">
        <x:v>Existing command</x:v>
      </x:c>
      <x:c r="E4" s="84" t="str">
        <x:v>Required claims</x:v>
      </x:c>
      <x:c r="F4" s="84" t="str">
        <x:v>Required artifacts</x:v>
      </x:c>
      <x:c r="G4" s="84" t="str">
        <x:v>Result status</x:v>
      </x:c>
      <x:c r="H4" s="84" t="str">
        <x:v>Review status</x:v>
      </x:c>
      <x:c r="I4" s="84" t="str">
        <x:v>Evidence rule</x:v>
      </x:c>
      <x:c r="J4" s="84" t="str">
        <x:v>Build binding</x:v>
      </x:c>
    </x:row>
    <x:row r="5">
      <x:c r="A5" s="15" t="str">
        <x:v>independent-witness</x:v>
      </x:c>
      <x:c r="B5" s="15" t="str">
        <x:v>REC-033, REC-034, SEC-039</x:v>
      </x:c>
      <x:c r="C5" s="15" t="str">
        <x:v>three independently hosted witnesses plus primary/standby nodes</x:v>
      </x:c>
      <x:c r="D5" s="15" t="str">
        <x:v>stagemesh-witness-qualify.py</x:v>
      </x:c>
      <x:c r="E5" s="15" t="str">
        <x:v>physicalIndependenceQualified
twoOfThreeSurvivesOneWitnessLoss
oneOfThreeDenied
clockSkewWithinBound
recoveredNodeRemainsStandbyDisarmed</x:v>
      </x:c>
      <x:c r="F5" s="15" t="str">
        <x:v>qualification-report
topology-inventory
clock-evidence</x:v>
      </x:c>
      <x:c r="G5" s="15" t="str">
        <x:v>External result required</x:v>
      </x:c>
      <x:c r="H5" s="15" t="str">
        <x:v>Authenticated review required</x:v>
      </x:c>
      <x:c r="I5" s="15" t="str">
        <x:v>Every required claim + artifact must verify before approval can be eligible for backlog review</x:v>
      </x:c>
      <x:c r="J5" s="15" t="str">
        <x:v>Exact planId + source SHA-256 + native-engine SHA-256</x:v>
      </x:c>
    </x:row>
    <x:row r="6">
      <x:c r="A6" s="15" t="str">
        <x:v>lan-security</x:v>
      </x:c>
      <x:c r="B6" s="15" t="str">
        <x:v>SEC-040</x:v>
      </x:c>
      <x:c r="C6" s="15" t="str">
        <x:v>deployed TLS reverse proxy, IdP/auth proxy and venue/control LAN firewall</x:v>
      </x:c>
      <x:c r="D6" s="15" t="str">
        <x:v>stagemesh-http-qualify.py</x:v>
      </x:c>
      <x:c r="E6" s="15" t="str">
        <x:v>trustedCertificateQualified
hostOriginBoundaryQualified
idpIdentityQualified
firewallIngressQualified
controllerLoadQualified</x:v>
      </x:c>
      <x:c r="F6" s="15" t="str">
        <x:v>qualification-report
tls-certificate-chain
firewall-policy</x:v>
      </x:c>
      <x:c r="G6" s="15" t="str">
        <x:v>External result required</x:v>
      </x:c>
      <x:c r="H6" s="15" t="str">
        <x:v>Authenticated review required</x:v>
      </x:c>
      <x:c r="I6" s="15" t="str">
        <x:v>Every required claim + artifact must verify before approval can be eligible for backlog review</x:v>
      </x:c>
      <x:c r="J6" s="15" t="str">
        <x:v>Exact planId + source SHA-256 + native-engine SHA-256</x:v>
      </x:c>
    </x:row>
    <x:row r="7">
      <x:c r="A7" s="15" t="str">
        <x:v>linux-packaging-host</x:v>
      </x:c>
      <x:c r="B7" s="15" t="str">
        <x:v>PKG-033, PKG-034</x:v>
      </x:c>
      <x:c r="C7" s="15" t="str">
        <x:v>fresh Linux host or VM with representative audio/MIDI/device access</x:v>
      </x:c>
      <x:c r="D7" s="15" t="str">
        <x:v>stagemesh-package-qualify.py</x:v>
      </x:c>
      <x:c r="E7" s="15" t="str">
        <x:v>cleanHostQualified
serviceBootQualified
upgradeStatePreserved
hardwarePermissionsQualified
uninstallPreservesState
purgeRemovesState</x:v>
      </x:c>
      <x:c r="F7" s="15" t="str">
        <x:v>qualification-report
package-manifest
service-evidence</x:v>
      </x:c>
      <x:c r="G7" s="15" t="str">
        <x:v>External result required</x:v>
      </x:c>
      <x:c r="H7" s="15" t="str">
        <x:v>Authenticated review required</x:v>
      </x:c>
      <x:c r="I7" s="15" t="str">
        <x:v>Every required claim + artifact must verify before approval can be eligible for backlog review</x:v>
      </x:c>
      <x:c r="J7" s="15" t="str">
        <x:v>Exact planId + source SHA-256 + native-engine SHA-256</x:v>
      </x:c>
    </x:row>
    <x:row r="8">
      <x:c r="A8" s="15" t="str">
        <x:v>windows-platform</x:v>
      </x:c>
      <x:c r="B8" s="15" t="str">
        <x:v>AUD-035, DEV-033, PLUG-035</x:v>
      </x:c>
      <x:c r="C8" s="15" t="str">
        <x:v>supported Windows host with audio/MIDI hardware and plugin fixtures</x:v>
      </x:c>
      <x:c r="D8" s="15" t="str">
        <x:v>Target-platform / manual harness</x:v>
      </x:c>
      <x:c r="E8" s="15" t="str">
        <x:v>audioNegotiationQualified
hotplugLifecycleQualified
namedPipeDaclQualified
pluginLaunchBindingQualified</x:v>
      </x:c>
      <x:c r="F8" s="15" t="str">
        <x:v>qualification-report
platform-observation
security-evidence</x:v>
      </x:c>
      <x:c r="G8" s="15" t="str">
        <x:v>External result required</x:v>
      </x:c>
      <x:c r="H8" s="15" t="str">
        <x:v>Authenticated review required</x:v>
      </x:c>
      <x:c r="I8" s="15" t="str">
        <x:v>Every required claim + artifact must verify before approval can be eligible for backlog review</x:v>
      </x:c>
      <x:c r="J8" s="15" t="str">
        <x:v>Exact planId + source SHA-256 + native-engine SHA-256</x:v>
      </x:c>
    </x:row>
    <x:row r="9">
      <x:c r="A9" s="15" t="str">
        <x:v>macos-platform</x:v>
      </x:c>
      <x:c r="B9" s="15" t="str">
        <x:v>AUD-036, DEV-034, PLUG-036</x:v>
      </x:c>
      <x:c r="C9" s="15" t="str">
        <x:v>supported macOS host with audio/MIDI hardware and plugin fixtures</x:v>
      </x:c>
      <x:c r="D9" s="15" t="str">
        <x:v>Target-platform / manual harness</x:v>
      </x:c>
      <x:c r="E9" s="15" t="str">
        <x:v>audioNegotiationQualified
hotplugLifecycleQualified
pluginLaunchBindingQualified</x:v>
      </x:c>
      <x:c r="F9" s="15" t="str">
        <x:v>qualification-report
platform-observation
security-evidence</x:v>
      </x:c>
      <x:c r="G9" s="15" t="str">
        <x:v>External result required</x:v>
      </x:c>
      <x:c r="H9" s="15" t="str">
        <x:v>Authenticated review required</x:v>
      </x:c>
      <x:c r="I9" s="15" t="str">
        <x:v>Every required claim + artifact must verify before approval can be eligible for backlog review</x:v>
      </x:c>
      <x:c r="J9" s="15" t="str">
        <x:v>Exact planId + source SHA-256 + native-engine SHA-256</x:v>
      </x:c>
    </x:row>
    <x:row r="10">
      <x:c r="A10" s="15" t="str">
        <x:v>assistive-technology</x:v>
      </x:c>
      <x:c r="B10" s="15" t="str">
        <x:v>UX-035</x:v>
      </x:c>
      <x:c r="C10" s="15" t="str">
        <x:v>real operator browser plus selected screen reader/keyboard AT stack</x:v>
      </x:c>
      <x:c r="D10" s="15" t="str">
        <x:v>Target-platform / manual harness</x:v>
      </x:c>
      <x:c r="E10" s="15" t="str">
        <x:v>keyboardWorkflowQualified
screenReaderWorkflowQualified
statusAnnouncementsQualified</x:v>
      </x:c>
      <x:c r="F10" s="15" t="str">
        <x:v>qualification-report
at-transcript</x:v>
      </x:c>
      <x:c r="G10" s="15" t="str">
        <x:v>External result required</x:v>
      </x:c>
      <x:c r="H10" s="15" t="str">
        <x:v>Authenticated review required</x:v>
      </x:c>
      <x:c r="I10" s="15" t="str">
        <x:v>Every required claim + artifact must verify before approval can be eligible for backlog review</x:v>
      </x:c>
      <x:c r="J10" s="15" t="str">
        <x:v>Exact planId + source SHA-256 + native-engine SHA-256</x:v>
      </x:c>
    </x:row>
    <x:row r="11">
      <x:c r="A11" s="15" t="str">
        <x:v>licensed-plugin-matrix</x:v>
      </x:c>
      <x:c r="B11" s="15" t="str">
        <x:v>PLUG-033, PLUG-037, PLUG-038</x:v>
      </x:c>
      <x:c r="C11" s="15" t="str">
        <x:v>licensed real plugin fixtures on every claimed OS/architecture</x:v>
      </x:c>
      <x:c r="D11" s="15" t="str">
        <x:v>Target-platform / manual harness</x:v>
      </x:c>
      <x:c r="E11" s="15" t="str">
        <x:v>fixtureLicensesReviewed
loadControlAudioRestartMatrixQualified
delayCompensationQualified
failureBypassQualified</x:v>
      </x:c>
      <x:c r="F11" s="15" t="str">
        <x:v>qualification-report
fixture-inventory
compatibility-matrix</x:v>
      </x:c>
      <x:c r="G11" s="15" t="str">
        <x:v>External result required</x:v>
      </x:c>
      <x:c r="H11" s="15" t="str">
        <x:v>Authenticated review required</x:v>
      </x:c>
      <x:c r="I11" s="15" t="str">
        <x:v>Every required claim + artifact must verify before approval can be eligible for backlog review</x:v>
      </x:c>
      <x:c r="J11" s="15" t="str">
        <x:v>Exact planId + source SHA-256 + native-engine SHA-256</x:v>
      </x:c>
    </x:row>
    <x:row r="12">
      <x:c r="A12" s="15" t="str">
        <x:v>stage-hardware</x:v>
      </x:c>
      <x:c r="B12" s="15" t="str">
        <x:v>AUD-034, DEV-035, LIVE-033, HW-033, HW-034, HW-035, HW-036, HW-037</x:v>
      </x:c>
      <x:c r="C12" s="15" t="str">
        <x:v>named production hardware and rehearsal topology</x:v>
      </x:c>
      <x:c r="D12" s="15" t="str">
        <x:v>stagemesh-qualify.py</x:v>
      </x:c>
      <x:c r="E12" s="15" t="str">
        <x:v>latencySoakQualified
audibleRecordingLoopQualified
controllerTimingQualified
rfClockQualified
failoverTimingQualified</x:v>
      </x:c>
      <x:c r="F12" s="15" t="str">
        <x:v>qualification-report
hardware-inventory
measurement-summary</x:v>
      </x:c>
      <x:c r="G12" s="15" t="str">
        <x:v>External result required</x:v>
      </x:c>
      <x:c r="H12" s="15" t="str">
        <x:v>Authenticated review required</x:v>
      </x:c>
      <x:c r="I12" s="15" t="str">
        <x:v>Every required claim + artifact must verify before approval can be eligible for backlog review</x:v>
      </x:c>
      <x:c r="J12" s="15" t="str">
        <x:v>Exact planId + source SHA-256 + native-engine SHA-256</x:v>
      </x:c>
    </x:row>
    <x:row r="15">
      <x:c r="A15" s="73" t="str">
        <x:v>Qualification rules</x:v>
      </x:c>
      <x:c r="B15" s="73"/>
      <x:c r="C15" s="73"/>
      <x:c r="D15" s="73"/>
      <x:c r="E15" s="73"/>
      <x:c r="F15" s="73"/>
      <x:c r="G15" s="73"/>
      <x:c r="H15" s="73"/>
    </x:row>
    <x:row r="16" ht="85" customHeight="1">
      <x:c r="A16" s="49" t="str">
        <x:v>A result never closes a backlog item automatically. It must match this exact plan/build, use a hashed runner identity, keep physicalOutputsArmed=false, satisfy every required claim, and provide every required evidence artifact with verified SHA-256/size. An authorized reviewer then issues an authenticated approve/reject/needs-evidence envelope. Only an approval is eligible for backlog review; human/release review still decides whether the evidence is authentic and sufficient. This retained plan predates Checkpoint 74. Regenerate its exact source/engine binding before new qualification submissions; hosted module evidence does not update this plan.</x:v>
      </x:c>
      <x:c r="B16" s="49"/>
      <x:c r="C16" s="49"/>
      <x:c r="D16" s="49"/>
      <x:c r="E16" s="49"/>
      <x:c r="F16" s="49"/>
      <x:c r="G16" s="49"/>
      <x:c r="H16" s="49"/>
      <x:c r="I16" s="49"/>
      <x:c r="J16" s="49"/>
    </x:row>
    <x:row r="17">
      <x:c r="A17" s="88"/>
      <x:c r="B17" s="88"/>
      <x:c r="C17" s="88"/>
      <x:c r="D17" s="88"/>
      <x:c r="E17" s="88"/>
      <x:c r="F17" s="88"/>
      <x:c r="G17" s="88"/>
      <x:c r="H17" s="88"/>
      <x:c r="I17" s="88"/>
      <x:c r="J17" s="88"/>
    </x:row>
    <x:row r="18">
      <x:c r="A18" s="88"/>
      <x:c r="B18" s="88"/>
      <x:c r="C18" s="88"/>
      <x:c r="D18" s="88"/>
      <x:c r="E18" s="88"/>
      <x:c r="F18" s="88"/>
      <x:c r="G18" s="88"/>
      <x:c r="H18" s="88"/>
      <x:c r="I18" s="88"/>
      <x:c r="J18" s="88"/>
    </x:row>
    <x:row r="19">
      <x:c r="A19" s="88"/>
      <x:c r="B19" s="88"/>
      <x:c r="C19" s="88"/>
      <x:c r="D19" s="88"/>
      <x:c r="E19" s="88"/>
      <x:c r="F19" s="88"/>
      <x:c r="G19" s="88"/>
      <x:c r="H19" s="88"/>
      <x:c r="I19" s="88"/>
      <x:c r="J19" s="88"/>
    </x:row>
  </x:sheetData>
  <x:mergeCells>
    <x:mergeCell ref="A1:H1"/>
    <x:mergeCell ref="A2:H2"/>
    <x:mergeCell ref="A15:J15"/>
    <x:mergeCell ref="A16:J19"/>
  </x:mergeCells>
  <x:conditionalFormatting sqref="F5:F12">
    <x:cfRule type="expression" dxfId="9" priority="1">
      <x:formula>F5="External evidence required"</x:formula>
    </x:cfRule>
  </x:conditionalFormatting>
  <x:conditionalFormatting sqref="G5:G12">
    <x:cfRule type="expression" dxfId="10" priority="2">
      <x:formula>G5="External result required"</x:formula>
    </x:cfRule>
  </x:conditionalFormatting>
  <x:conditionalFormatting sqref="H5:H12">
    <x:cfRule type="expression" dxfId="11" priority="3">
      <x:formula>H5="Authenticated review required"</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25" hidden="0" customWidth="1"/>
    <x:col min="3" max="3" width="18" hidden="0" customWidth="1"/>
    <x:col min="4" max="4" width="22" hidden="0" customWidth="1"/>
    <x:col min="5" max="5" width="38" hidden="0" customWidth="1"/>
    <x:col min="6" max="6" width="38" hidden="0" customWidth="1"/>
    <x:col min="7" max="7" width="34" hidden="0" customWidth="1"/>
    <x:col min="8" max="8" width="48" hidden="0" customWidth="1"/>
  </x:cols>
  <x:sheetData>
    <x:row r="1">
      <x:c r="A1" s="100" t="str">
        <x:v>StageMesh Qualification Intake Status</x:v>
      </x:c>
      <x:c r="B1" s="100"/>
      <x:c r="C1" s="100"/>
      <x:c r="D1" s="100"/>
      <x:c r="E1" s="100"/>
      <x:c r="F1" s="100"/>
      <x:c r="G1" s="100"/>
      <x:c r="H1" s="100"/>
    </x:row>
    <x:row r="2">
      <x:c r="A2" s="101" t="str">
        <x:v>Exact plan sha256:6d6f16e34d55ead174f55bd7e2cb39d1ad225fb27c11845be24ccd6bb54e4fbd · pending 8 · approved 0 · invalid 0</x:v>
      </x:c>
      <x:c r="B2" s="101"/>
      <x:c r="C2" s="101"/>
      <x:c r="D2" s="101"/>
      <x:c r="E2" s="101"/>
      <x:c r="F2" s="101"/>
      <x:c r="G2" s="101"/>
      <x:c r="H2" s="101"/>
    </x:row>
    <x:row r="3">
      <x:c r="A3" s="70"/>
      <x:c r="B3" s="70"/>
      <x:c r="C3" s="70"/>
      <x:c r="D3" s="70"/>
      <x:c r="E3" s="70"/>
      <x:c r="F3" s="70"/>
      <x:c r="G3" s="70"/>
      <x:c r="H3" s="70"/>
    </x:row>
    <x:row r="4">
      <x:c r="A4" s="102" t="str">
        <x:v>Task</x:v>
      </x:c>
      <x:c r="B4" s="102" t="str">
        <x:v>Backlog IDs</x:v>
      </x:c>
      <x:c r="C4" s="102" t="str">
        <x:v>Status</x:v>
      </x:c>
      <x:c r="D4" s="102" t="str">
        <x:v>Backlog-review eligible</x:v>
      </x:c>
      <x:c r="E4" s="102" t="str">
        <x:v>Result SHA-256</x:v>
      </x:c>
      <x:c r="F4" s="102" t="str">
        <x:v>Reviewer hash</x:v>
      </x:c>
      <x:c r="G4" s="102" t="str">
        <x:v>Reason</x:v>
      </x:c>
      <x:c r="H4" s="102" t="str">
        <x:v>Next action</x:v>
      </x:c>
    </x:row>
    <x:row r="5">
      <x:c r="A5" s="15" t="str">
        <x:v>independent-witness</x:v>
      </x:c>
      <x:c r="B5" s="15" t="str">
        <x:v>REC-033, REC-034, SEC-039</x:v>
      </x:c>
      <x:c r="C5" s="15" t="str">
        <x:v>pending</x:v>
      </x:c>
      <x:c r="D5" s="15" t="str">
        <x:v>No</x:v>
      </x:c>
      <x:c r="E5" s="15" t="str"/>
      <x:c r="F5" s="15" t="str"/>
      <x:c r="G5" s="15" t="str"/>
      <x:c r="H5" s="15" t="str">
        <x:v>Run the external task and submit result.json + artifacts</x:v>
      </x:c>
    </x:row>
    <x:row r="6">
      <x:c r="A6" s="15" t="str">
        <x:v>lan-security</x:v>
      </x:c>
      <x:c r="B6" s="15" t="str">
        <x:v>SEC-040</x:v>
      </x:c>
      <x:c r="C6" s="15" t="str">
        <x:v>pending</x:v>
      </x:c>
      <x:c r="D6" s="15" t="str">
        <x:v>No</x:v>
      </x:c>
      <x:c r="E6" s="15" t="str"/>
      <x:c r="F6" s="15" t="str"/>
      <x:c r="G6" s="15" t="str"/>
      <x:c r="H6" s="15" t="str">
        <x:v>Run the external task and submit result.json + artifacts</x:v>
      </x:c>
    </x:row>
    <x:row r="7">
      <x:c r="A7" s="15" t="str">
        <x:v>linux-packaging-host</x:v>
      </x:c>
      <x:c r="B7" s="15" t="str">
        <x:v>PKG-033, PKG-034</x:v>
      </x:c>
      <x:c r="C7" s="15" t="str">
        <x:v>pending</x:v>
      </x:c>
      <x:c r="D7" s="15" t="str">
        <x:v>No</x:v>
      </x:c>
      <x:c r="E7" s="15" t="str"/>
      <x:c r="F7" s="15" t="str"/>
      <x:c r="G7" s="15" t="str"/>
      <x:c r="H7" s="15" t="str">
        <x:v>Run the external task and submit result.json + artifacts</x:v>
      </x:c>
    </x:row>
    <x:row r="8">
      <x:c r="A8" s="15" t="str">
        <x:v>windows-platform</x:v>
      </x:c>
      <x:c r="B8" s="15" t="str">
        <x:v>AUD-035, DEV-033, PLUG-035</x:v>
      </x:c>
      <x:c r="C8" s="15" t="str">
        <x:v>pending</x:v>
      </x:c>
      <x:c r="D8" s="15" t="str">
        <x:v>No</x:v>
      </x:c>
      <x:c r="E8" s="15" t="str"/>
      <x:c r="F8" s="15" t="str"/>
      <x:c r="G8" s="15" t="str"/>
      <x:c r="H8" s="15" t="str">
        <x:v>Run the external task and submit result.json + artifacts</x:v>
      </x:c>
    </x:row>
    <x:row r="9">
      <x:c r="A9" s="15" t="str">
        <x:v>macos-platform</x:v>
      </x:c>
      <x:c r="B9" s="15" t="str">
        <x:v>AUD-036, DEV-034, PLUG-036</x:v>
      </x:c>
      <x:c r="C9" s="15" t="str">
        <x:v>pending</x:v>
      </x:c>
      <x:c r="D9" s="15" t="str">
        <x:v>No</x:v>
      </x:c>
      <x:c r="E9" s="15" t="str"/>
      <x:c r="F9" s="15" t="str"/>
      <x:c r="G9" s="15" t="str"/>
      <x:c r="H9" s="15" t="str">
        <x:v>Run the external task and submit result.json + artifacts</x:v>
      </x:c>
    </x:row>
    <x:row r="10">
      <x:c r="A10" s="15" t="str">
        <x:v>assistive-technology</x:v>
      </x:c>
      <x:c r="B10" s="15" t="str">
        <x:v>UX-035</x:v>
      </x:c>
      <x:c r="C10" s="15" t="str">
        <x:v>pending</x:v>
      </x:c>
      <x:c r="D10" s="15" t="str">
        <x:v>No</x:v>
      </x:c>
      <x:c r="E10" s="15" t="str"/>
      <x:c r="F10" s="15" t="str"/>
      <x:c r="G10" s="15" t="str"/>
      <x:c r="H10" s="15" t="str">
        <x:v>Run the external task and submit result.json + artifacts</x:v>
      </x:c>
    </x:row>
    <x:row r="11">
      <x:c r="A11" s="15" t="str">
        <x:v>licensed-plugin-matrix</x:v>
      </x:c>
      <x:c r="B11" s="15" t="str">
        <x:v>PLUG-033, PLUG-037, PLUG-038</x:v>
      </x:c>
      <x:c r="C11" s="15" t="str">
        <x:v>pending</x:v>
      </x:c>
      <x:c r="D11" s="15" t="str">
        <x:v>No</x:v>
      </x:c>
      <x:c r="E11" s="15" t="str"/>
      <x:c r="F11" s="15" t="str"/>
      <x:c r="G11" s="15" t="str"/>
      <x:c r="H11" s="15" t="str">
        <x:v>Run the external task and submit result.json + artifacts</x:v>
      </x:c>
    </x:row>
    <x:row r="12">
      <x:c r="A12" s="15" t="str">
        <x:v>stage-hardware</x:v>
      </x:c>
      <x:c r="B12" s="15" t="str">
        <x:v>AUD-034, DEV-035, LIVE-033, HW-033, HW-034, HW-035, HW-036, HW-037</x:v>
      </x:c>
      <x:c r="C12" s="15" t="str">
        <x:v>pending</x:v>
      </x:c>
      <x:c r="D12" s="15" t="str">
        <x:v>No</x:v>
      </x:c>
      <x:c r="E12" s="15" t="str"/>
      <x:c r="F12" s="15" t="str"/>
      <x:c r="G12" s="15" t="str"/>
      <x:c r="H12" s="15" t="str">
        <x:v>Run the external task and submit result.json + artifacts</x:v>
      </x:c>
    </x:row>
    <x:row r="15">
      <x:c r="A15" s="104" t="str">
        <x:v>Intake rule</x:v>
      </x:c>
      <x:c r="B15" s="104"/>
      <x:c r="C15" s="104"/>
      <x:c r="D15" s="104"/>
      <x:c r="E15" s="104"/>
      <x:c r="F15" s="104"/>
      <x:c r="G15" s="104"/>
      <x:c r="H15" s="104"/>
    </x:row>
    <x:row r="16">
      <x:c r="A16" s="108" t="str">
        <x:v>Approved means the exact-build result, current evidence files, and authenticated review are internally consistent. It does not mark any backlog row Done. External evidence still needs release/owner judgment, and physicalOutputsArmed remains false throughout the qualification envelope.</x:v>
      </x:c>
      <x:c r="B16" s="108"/>
      <x:c r="C16" s="108"/>
      <x:c r="D16" s="108"/>
      <x:c r="E16" s="108"/>
      <x:c r="F16" s="108"/>
      <x:c r="G16" s="108"/>
      <x:c r="H16" s="108"/>
    </x:row>
    <x:row r="17">
      <x:c r="A17" s="108"/>
      <x:c r="B17" s="108"/>
      <x:c r="C17" s="108"/>
      <x:c r="D17" s="108"/>
      <x:c r="E17" s="108"/>
      <x:c r="F17" s="108"/>
      <x:c r="G17" s="108"/>
      <x:c r="H17" s="108"/>
    </x:row>
    <x:row r="18">
      <x:c r="A18" s="108"/>
      <x:c r="B18" s="108"/>
      <x:c r="C18" s="108"/>
      <x:c r="D18" s="108"/>
      <x:c r="E18" s="108"/>
      <x:c r="F18" s="108"/>
      <x:c r="G18" s="108"/>
      <x:c r="H18" s="108"/>
    </x:row>
    <x:row r="19">
      <x:c r="A19" s="108"/>
      <x:c r="B19" s="108"/>
      <x:c r="C19" s="108"/>
      <x:c r="D19" s="108"/>
      <x:c r="E19" s="108"/>
      <x:c r="F19" s="108"/>
      <x:c r="G19" s="108"/>
      <x:c r="H19" s="108"/>
    </x:row>
  </x:sheetData>
  <x:mergeCells>
    <x:mergeCell ref="A1:H1"/>
    <x:mergeCell ref="A2:H2"/>
    <x:mergeCell ref="A15:H15"/>
    <x:mergeCell ref="A16:H19"/>
  </x:mergeCells>
  <x:conditionalFormatting sqref="C5:C12">
    <x:cfRule type="expression" dxfId="12" priority="1">
      <x:formula>C5="pending"</x:formula>
    </x:cfRule>
    <x:cfRule type="expression" dxfId="13" priority="2">
      <x:formula>C5="approved"</x:formula>
    </x:cfRule>
    <x:cfRule type="expression" dxfId="14" priority="3">
      <x:formula>C5="invalid"</x:formula>
    </x:cfRule>
    <x:cfRule type="expression" dxfId="15" priority="4">
      <x:formula>C5="rejected"</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0" hidden="0" customWidth="1"/>
    <x:col min="3" max="3" width="28" hidden="0" customWidth="1"/>
    <x:col min="4" max="4" width="20" hidden="0" customWidth="1"/>
    <x:col min="5" max="5" width="48" hidden="0" customWidth="1"/>
    <x:col min="6" max="6" width="22" hidden="0" customWidth="1"/>
    <x:col min="7" max="7" width="38" hidden="0" customWidth="1"/>
    <x:col min="8" max="8" width="24" hidden="0" customWidth="1"/>
  </x:cols>
  <x:sheetData>
    <x:row r="1">
      <x:c r="A1" s="111" t="str">
        <x:v>StageMesh CI Platform Evidence</x:v>
      </x:c>
      <x:c r="B1" s="111"/>
      <x:c r="C1" s="111"/>
      <x:c r="D1" s="111"/>
      <x:c r="E1" s="111"/>
      <x:c r="F1" s="111"/>
      <x:c r="G1" s="111"/>
      <x:c r="H1" s="111"/>
    </x:row>
    <x:row r="2">
      <x:c r="A2" s="114" t="str">
        <x:v>Checkpoint 83 | Code 1c597df574c9a1af2a2e65837f0565eb8911d762 | Pinned audio capability probes</x:v>
      </x:c>
      <x:c r="B2" s="114"/>
      <x:c r="C2" s="114"/>
      <x:c r="D2" s="114"/>
      <x:c r="E2" s="114"/>
      <x:c r="F2" s="114"/>
      <x:c r="G2" s="114"/>
      <x:c r="H2" s="114"/>
    </x:row>
    <x:row r="4">
      <x:c r="A4" s="117" t="str">
        <x:v>Environment</x:v>
      </x:c>
      <x:c r="B4" s="117" t="str">
        <x:v>Runner</x:v>
      </x:c>
      <x:c r="C4" s="117" t="str">
        <x:v>Build</x:v>
      </x:c>
      <x:c r="D4" s="117" t="str">
        <x:v>Native tests</x:v>
      </x:c>
      <x:c r="E4" s="117" t="str">
        <x:v>Platform smoke</x:v>
      </x:c>
      <x:c r="F4" s="117" t="str">
        <x:v>Physical hardware</x:v>
      </x:c>
      <x:c r="G4" s="117" t="str">
        <x:v>Evidence</x:v>
      </x:c>
      <x:c r="H4" s="117" t="str">
        <x:v>Status</x:v>
      </x:c>
    </x:row>
    <x:row r="5">
      <x:c r="A5" s="12" t="str">
        <x:v>Linux module reference</x:v>
      </x:c>
      <x:c r="B5" s="12" t="str">
        <x:v>ubuntu-24.04</x:v>
      </x:c>
      <x:c r="C5" s="12" t="str">
        <x:v>GitHub canonical platform modules</x:v>
      </x:c>
      <x:c r="D5" s="12" t="str">
        <x:v>Passed</x:v>
      </x:c>
      <x:c r="E5" s="12" t="str">
        <x:v>Import/hash-bound smoke passed</x:v>
      </x:c>
      <x:c r="F5" s="12" t="str">
        <x:v>Not claimed</x:v>
      </x:c>
      <x:c r="G5" s="12" t="str">
        <x:v>Checkpoint 73 workflow run 34870219024</x:v>
      </x:c>
      <x:c r="H5" s="12" t="str">
        <x:v>Passed hosted</x:v>
      </x:c>
    </x:row>
    <x:row r="6">
      <x:c r="A6" s="12" t="str">
        <x:v>Windows x64</x:v>
      </x:c>
      <x:c r="B6" s="12" t="str">
        <x:v>Windows Server 2025</x:v>
      </x:c>
      <x:c r="C6" s="12" t="str">
        <x:v>UPPF + SCM + native launch binder</x:v>
      </x:c>
      <x:c r="D6" s="12" t="str">
        <x:v>Passed</x:v>
      </x:c>
      <x:c r="E6" s="12" t="str">
        <x:v>DACL/denial/SCM plus Authenticode + stable file identity launch binder</x:v>
      </x:c>
      <x:c r="F6" s="12" t="str">
        <x:v>Not claimed</x:v>
      </x:c>
      <x:c r="G6" s="12" t="str">
        <x:v>launch artifact sha256:53e36074c526bd8909af0ddc695a17856d7d90efd1d50b8ea29b26d6dc300876</x:v>
      </x:c>
      <x:c r="H6" s="12" t="str">
        <x:v>Passed hosted / PLUG-034</x:v>
      </x:c>
    </x:row>
    <x:row r="7">
      <x:c r="A7" s="12" t="str">
        <x:v>macOS Apple Silicon</x:v>
      </x:c>
      <x:c r="B7" s="12" t="str">
        <x:v>Darwin 23.6 arm64</x:v>
      </x:c>
      <x:c r="C7" s="12" t="str">
        <x:v>CoreAudio probe + native launch binder</x:v>
      </x:c>
      <x:c r="D7" s="12" t="str">
        <x:v>Passed</x:v>
      </x:c>
      <x:c r="E7" s="12" t="str">
        <x:v>CoreAudio evidence plus exact-byte private-copy codesign/CDHash launch binder</x:v>
      </x:c>
      <x:c r="F7" s="12" t="str">
        <x:v>Not claimed</x:v>
      </x:c>
      <x:c r="G7" s="12" t="str">
        <x:v>launch artifact sha256:527a6c92f6e277f3d5d6609fb42dabeb0d709e36755b8314b34487d1a9d60c92</x:v>
      </x:c>
      <x:c r="H7" s="12" t="str">
        <x:v>Passed hosted / PLUG-034</x:v>
      </x:c>
    </x:row>
    <x:row r="8" ht="110" customHeight="1">
      <x:c r="A8" s="12" t="str">
        <x:v>Windows pinned probe contracts</x:v>
      </x:c>
      <x:c r="B8" s="12" t="str">
        <x:v>windows-latest / AMD64</x:v>
      </x:c>
      <x:c r="C8" s="12" t="str">
        <x:v>Test merge 28a9f9ff736e91f512956cf300957c2d729a7773</x:v>
      </x:c>
      <x:c r="D8" s="12" t="str">
        <x:v>7 CTests + evidence executables passed</x:v>
      </x:c>
      <x:c r="E8" s="12" t="str">
        <x:v>Pinned probe builds; missing endpoints rejected. Identity/fence regression suite passes. No audio endpoints, so live readback/I/O unverified.</x:v>
      </x:c>
      <x:c r="F8" s="12" t="str">
        <x:v>Not claimed</x:v>
      </x:c>
      <x:c r="G8" s="12" t="str">
        <x:v>https://github.com/colinatwood/stagemesh/actions/runs/34998947927
Selected-loss binary SHA-256: 7dfd0ae3c4e3351535f88616a560ef103bb8977137e83cb23cd310f1b8f4cebd</x:v>
      </x:c>
      <x:c r="H8" s="12" t="str">
        <x:v>Scope passed; AUD-035/DEV-033 open</x:v>
      </x:c>
    </x:row>
    <x:row r="9" ht="110" customHeight="1">
      <x:c r="A9" s="12" t="str">
        <x:v>macOS non-default pinned probe</x:v>
      </x:c>
      <x:c r="B9" s="12" t="str">
        <x:v>macos-14 / Darwin 23.6.0 arm64</x:v>
      </x:c>
      <x:c r="C9" s="12" t="str">
        <x:v>Test merge 28a9f9ff736e91f512956cf300957c2d729a7773</x:v>
      </x:c>
      <x:c r="D9" s="12" t="str">
        <x:v>7 CTests + evidence executables; ASan</x:v>
      </x:c>
      <x:c r="E9" s="12" t="str">
        <x:v>Selected aggregate capability readback configures native I/O; removal rejects default fallback. 39 playback / 29 capture callbacks across fixture.</x:v>
      </x:c>
      <x:c r="F9" s="12" t="str">
        <x:v>Not claimed</x:v>
      </x:c>
      <x:c r="G9" s="12" t="str">
        <x:v>https://github.com/colinatwood/stagemesh/actions/runs/34998947927
Selected-loss binary SHA-256: 2b6ed39303c309e52150c0abc0600fe052c37502d3f44506ffc99319d44502d9</x:v>
      </x:c>
      <x:c r="H9" s="12" t="str">
        <x:v>Scope passed; AUD-036/DEV-034 open</x:v>
      </x:c>
    </x:row>
    <x:row r="10">
      <x:c r="A10" s="119" t="str">
        <x:v>Claim boundary</x:v>
      </x:c>
      <x:c r="B10" s="119"/>
      <x:c r="C10" s="119"/>
      <x:c r="D10" s="119"/>
      <x:c r="E10" s="119"/>
      <x:c r="F10" s="119"/>
      <x:c r="G10" s="119"/>
      <x:c r="H10" s="119"/>
    </x:row>
    <x:row r="11" ht="64" customHeight="1">
      <x:c r="A11" s="49" t="str">
        <x:v>Checkpoint 83 proves macOS capability readback for a selected non-default software endpoint and no fallback after removal. Probes do not change settings, start I/O or grant execution permission. Playback tests render silence; capture samples are discarded without storage. Windows live endpoints, full-engine/conversion source, licensed compatibility and physical qualification remain outstanding.</x:v>
      </x:c>
      <x:c r="B11" s="49"/>
      <x:c r="C11" s="49"/>
      <x:c r="D11" s="49"/>
      <x:c r="E11" s="49"/>
      <x:c r="F11" s="49"/>
      <x:c r="G11" s="49"/>
      <x:c r="H11" s="49"/>
    </x:row>
    <x:row r="12">
      <x:c r="A12" s="123"/>
      <x:c r="B12" s="123"/>
      <x:c r="C12" s="123"/>
      <x:c r="D12" s="123"/>
      <x:c r="E12" s="123"/>
      <x:c r="F12" s="123"/>
      <x:c r="G12" s="123"/>
      <x:c r="H12" s="123"/>
    </x:row>
    <x:row r="13">
      <x:c r="A13" s="123"/>
      <x:c r="B13" s="123"/>
      <x:c r="C13" s="123"/>
      <x:c r="D13" s="123"/>
      <x:c r="E13" s="123"/>
      <x:c r="F13" s="123"/>
      <x:c r="G13" s="123"/>
      <x:c r="H13" s="123"/>
    </x:row>
    <x:row r="14">
      <x:c r="A14" s="123"/>
      <x:c r="B14" s="123"/>
      <x:c r="C14" s="123"/>
      <x:c r="D14" s="123"/>
      <x:c r="E14" s="123"/>
      <x:c r="F14" s="123"/>
      <x:c r="G14" s="123"/>
      <x:c r="H14" s="123"/>
    </x:row>
  </x:sheetData>
  <x:mergeCells>
    <x:mergeCell ref="A1:H1"/>
    <x:mergeCell ref="A2:H2"/>
    <x:mergeCell ref="A10:H10"/>
    <x:mergeCell ref="A11:H14"/>
  </x:mergeCells>
  <x:conditionalFormatting sqref="H5:H7">
    <x:cfRule type="expression" dxfId="16" priority="1">
      <x:formula>LEFT(H5,6)="Passed"</x:formula>
    </x:cfRule>
    <x:cfRule type="expression" dxfId="17" priority="2">
      <x:formula>LEFT(H5,7)="Pending"</x:formula>
    </x:cfRule>
  </x:conditionalFormatting>
  <x:pageMargins left="0.7" right="0.7" top="0.75" bottom="0.75" header="0.3" footer="0.3"/>
</x:worksheet>
</file>